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현재_통합_문서"/>
  <bookViews>
    <workbookView xWindow="0" yWindow="0" windowWidth="27945" windowHeight="12375"/>
  </bookViews>
  <sheets>
    <sheet name="발주서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4" i="1"/>
  <c r="Q64"/>
  <c r="U63"/>
  <c r="Q63"/>
  <c r="U62"/>
  <c r="Q62"/>
  <c r="U61"/>
  <c r="Q61"/>
  <c r="U60"/>
  <c r="Q60"/>
  <c r="T58"/>
  <c r="S58"/>
  <c r="Q58"/>
  <c r="P58"/>
  <c r="J58"/>
  <c r="T57"/>
  <c r="S57"/>
  <c r="P57"/>
  <c r="T56"/>
  <c r="S56"/>
  <c r="P56"/>
  <c r="T55"/>
  <c r="S55"/>
  <c r="P55"/>
  <c r="T54"/>
  <c r="S54"/>
  <c r="P54"/>
  <c r="T53"/>
  <c r="S53"/>
  <c r="P53"/>
  <c r="T52"/>
  <c r="S52"/>
  <c r="P52"/>
  <c r="T51"/>
  <c r="S51"/>
  <c r="P51"/>
  <c r="T50"/>
  <c r="S50"/>
  <c r="P50"/>
  <c r="T49"/>
  <c r="S49"/>
  <c r="P49"/>
  <c r="T48"/>
  <c r="S48"/>
  <c r="P48"/>
  <c r="T47"/>
  <c r="S47"/>
  <c r="P47"/>
  <c r="T46"/>
  <c r="S46"/>
  <c r="P46"/>
  <c r="T45"/>
  <c r="S45"/>
  <c r="P45"/>
  <c r="T44"/>
  <c r="S44"/>
  <c r="P44"/>
  <c r="T43"/>
  <c r="S43"/>
  <c r="P43"/>
  <c r="T42"/>
  <c r="S42"/>
  <c r="P42"/>
  <c r="T41"/>
  <c r="S41"/>
  <c r="P41"/>
  <c r="T40"/>
  <c r="S40"/>
  <c r="P40"/>
  <c r="T39"/>
  <c r="S39"/>
  <c r="P39"/>
  <c r="T38"/>
  <c r="S38"/>
  <c r="P38"/>
  <c r="T37"/>
  <c r="S37"/>
  <c r="P37"/>
  <c r="T36"/>
  <c r="S36"/>
  <c r="P36"/>
  <c r="T35"/>
  <c r="S35"/>
  <c r="P35"/>
  <c r="T34"/>
  <c r="S34"/>
  <c r="P34"/>
  <c r="T33"/>
  <c r="S33"/>
  <c r="P33"/>
  <c r="T32"/>
  <c r="S32"/>
  <c r="P32"/>
  <c r="T31"/>
  <c r="S31"/>
  <c r="P31"/>
  <c r="T30"/>
  <c r="S30"/>
  <c r="P30"/>
  <c r="T29"/>
  <c r="S29"/>
  <c r="P29"/>
  <c r="T28"/>
  <c r="S28"/>
  <c r="P28"/>
  <c r="T27"/>
  <c r="S27"/>
  <c r="P27"/>
  <c r="T26"/>
  <c r="S26"/>
  <c r="P26"/>
  <c r="T25"/>
  <c r="S25"/>
  <c r="P25"/>
  <c r="T24"/>
  <c r="S24"/>
  <c r="P24"/>
  <c r="T23"/>
  <c r="S23"/>
  <c r="P23"/>
  <c r="T22"/>
  <c r="S22"/>
  <c r="P22"/>
  <c r="T21"/>
  <c r="S21"/>
  <c r="P21"/>
  <c r="T20"/>
  <c r="S20"/>
  <c r="P20"/>
  <c r="T19"/>
  <c r="S19"/>
  <c r="P19"/>
  <c r="T18"/>
  <c r="S18"/>
  <c r="P18"/>
  <c r="T17"/>
  <c r="S17"/>
  <c r="P17"/>
  <c r="T16"/>
  <c r="S16"/>
  <c r="P16"/>
  <c r="T15"/>
  <c r="S15"/>
  <c r="P15"/>
  <c r="T14"/>
  <c r="S14"/>
  <c r="P14"/>
  <c r="T13"/>
  <c r="S13"/>
  <c r="P13"/>
  <c r="T12"/>
  <c r="S12"/>
  <c r="P12"/>
  <c r="T11"/>
  <c r="S11"/>
  <c r="P11"/>
  <c r="T10"/>
  <c r="S10"/>
  <c r="P10"/>
  <c r="T9"/>
  <c r="S9"/>
  <c r="P9"/>
  <c r="T8"/>
  <c r="S8"/>
  <c r="P8"/>
</calcChain>
</file>

<file path=xl/comments1.xml><?xml version="1.0" encoding="utf-8"?>
<comments xmlns="http://schemas.openxmlformats.org/spreadsheetml/2006/main">
  <authors>
    <author>NANA INC</author>
    <author>徐铭泽</author>
  </authors>
  <commentList>
    <comment ref="O62" authorId="0">
      <text>
        <r>
          <rPr>
            <b/>
            <sz val="16"/>
            <rFont val="맑은 고딕"/>
            <family val="3"/>
            <charset val="129"/>
          </rPr>
          <t>가공비 내역:
상품 재포장,바코드작업,원산지 작업등...</t>
        </r>
      </text>
    </comment>
    <comment ref="S62" authorId="1">
      <text>
        <r>
          <rPr>
            <b/>
            <sz val="16"/>
            <rFont val="DengXian"/>
            <family val="2"/>
          </rPr>
          <t>加工费包括：
二次包装、制作条码、制作产地标、二次打包等</t>
        </r>
      </text>
    </comment>
  </commentList>
</comments>
</file>

<file path=xl/sharedStrings.xml><?xml version="1.0" encoding="utf-8"?>
<sst xmlns="http://schemas.openxmlformats.org/spreadsheetml/2006/main" count="60" uniqueCount="55">
  <si>
    <t>PURCHASE INVOICE</t>
  </si>
  <si>
    <t>바코드 작업 주의사항!
1,바코드 디자인 파일은 PDF;JPEG;GIF;PNG;BMP;PSD;LBX 형식으로 부탁드립니다.(알집으로 압축후 전달해주세요)
2,바코드 디자인중 MADE IN CHINA 영문표기 꼭 해주셔야 합니다.
3,바코드 상품명은 발주서 상품 순번으로 기재해주세요.예：1，2，3……
4,상품 세트 포장요구있으실 경우
발주서 상품순번 1、2、3한세트 포장이면, 바코드 상품명：1-2-3；
발주서 상품순번 1、3한세트 포장이면，바코드 상품명：1-3.
5,바코드 디자인 파일 상품명은  바코드 상품명과 동일하셔야 합니다.
바코드 사이즈(넓이*높이) 총 3가지 입니다.
50mm*30mm
60mm*80mm</t>
  </si>
  <si>
    <t>Invoice No:  SL</t>
  </si>
  <si>
    <t>客户信息</t>
  </si>
  <si>
    <t>公司名称(사업자 상호명)
한글/영문</t>
  </si>
  <si>
    <t>执照号
(사업자등록증번호)</t>
  </si>
  <si>
    <t>电话(전화번호)</t>
  </si>
  <si>
    <t>주민번호</t>
  </si>
  <si>
    <t>地址
(배차받으실 주소영문)</t>
  </si>
  <si>
    <t>발주서 양식 수정불가! 셀병함 불가!(중요!!)
발주서 50행초과시 2개의 파일로 나누어 작성해주세요.(중요!!)
베이지 컬러 표기된 부분은 모두 작성하셔야 발주가능합니다. 
발주서 작성시 문의 있으시면 언제든 연락주세요~
***상품별 진행상황은 전달드린 링크로 체크 부탁드립니다.
     전달드린 링크의 이미지 참조하시어
    컬러/디자인/재질 등등 이슈 발생시 즉시 반영부탁드리며
    중국 물류지 출고 후 확인되는 제품관련 이슈의 책임은 화주에게 있음을 알려드립니다***</t>
  </si>
  <si>
    <r>
      <rPr>
        <b/>
        <sz val="12"/>
        <color theme="1"/>
        <rFont val="맑은 고딕"/>
        <family val="3"/>
        <charset val="129"/>
      </rPr>
      <t>중국 출고완료
已</t>
    </r>
    <r>
      <rPr>
        <b/>
        <sz val="12"/>
        <color theme="1"/>
        <rFont val="맑은 고딕"/>
        <family val="3"/>
        <charset val="129"/>
      </rPr>
      <t>发货</t>
    </r>
  </si>
  <si>
    <t>대행지 포장완료
已包装</t>
  </si>
  <si>
    <r>
      <rPr>
        <b/>
        <sz val="12"/>
        <color theme="1"/>
        <rFont val="맑은 고딕"/>
        <family val="3"/>
        <charset val="129"/>
      </rPr>
      <t xml:space="preserve">대행지 입고완료
</t>
    </r>
    <r>
      <rPr>
        <b/>
        <sz val="12"/>
        <color theme="1"/>
        <rFont val="맑은 고딕"/>
        <family val="3"/>
        <charset val="129"/>
      </rPr>
      <t>已入库</t>
    </r>
  </si>
  <si>
    <r>
      <rPr>
        <b/>
        <sz val="12"/>
        <color theme="1"/>
        <rFont val="맑은 고딕"/>
        <family val="3"/>
        <charset val="129"/>
      </rPr>
      <t xml:space="preserve">공장 출고완료
</t>
    </r>
    <r>
      <rPr>
        <b/>
        <sz val="12"/>
        <color theme="1"/>
        <rFont val="맑은 고딕"/>
        <family val="3"/>
        <charset val="129"/>
      </rPr>
      <t>厂家</t>
    </r>
    <r>
      <rPr>
        <b/>
        <sz val="12"/>
        <color theme="1"/>
        <rFont val="맑은 고딕"/>
        <family val="3"/>
        <charset val="129"/>
      </rPr>
      <t>已</t>
    </r>
    <r>
      <rPr>
        <b/>
        <sz val="12"/>
        <color theme="1"/>
        <rFont val="맑은 고딕"/>
        <family val="3"/>
        <charset val="129"/>
      </rPr>
      <t>发货</t>
    </r>
  </si>
  <si>
    <r>
      <rPr>
        <b/>
        <sz val="12"/>
        <color indexed="8"/>
        <rFont val="맑은 고딕"/>
        <family val="3"/>
        <charset val="129"/>
      </rPr>
      <t xml:space="preserve">순번
</t>
    </r>
    <r>
      <rPr>
        <b/>
        <sz val="12"/>
        <color rgb="FF000000"/>
        <rFont val="맑은 고딕"/>
        <family val="3"/>
        <charset val="129"/>
      </rPr>
      <t>编号</t>
    </r>
  </si>
  <si>
    <r>
      <rPr>
        <b/>
        <sz val="12"/>
        <color indexed="8"/>
        <rFont val="맑은 고딕"/>
        <family val="3"/>
        <charset val="129"/>
      </rPr>
      <t xml:space="preserve">이미지
</t>
    </r>
    <r>
      <rPr>
        <b/>
        <sz val="12"/>
        <color rgb="FF000000"/>
        <rFont val="맑은 고딕"/>
        <family val="3"/>
        <charset val="129"/>
      </rPr>
      <t>产品图片</t>
    </r>
  </si>
  <si>
    <t>통관상품명
韩文报关品名</t>
  </si>
  <si>
    <r>
      <rPr>
        <b/>
        <sz val="12"/>
        <color indexed="8"/>
        <rFont val="맑은 고딕"/>
        <family val="3"/>
        <charset val="129"/>
      </rPr>
      <t xml:space="preserve">상품URL
</t>
    </r>
    <r>
      <rPr>
        <b/>
        <sz val="12"/>
        <color rgb="FF000000"/>
        <rFont val="맑은 고딕"/>
        <family val="3"/>
        <charset val="129"/>
      </rPr>
      <t>链接</t>
    </r>
  </si>
  <si>
    <r>
      <rPr>
        <b/>
        <sz val="12"/>
        <color indexed="8"/>
        <rFont val="맑은 고딕"/>
        <family val="3"/>
        <charset val="129"/>
      </rPr>
      <t>1688상품명
中文商品名</t>
    </r>
    <r>
      <rPr>
        <b/>
        <sz val="12"/>
        <color rgb="FF000000"/>
        <rFont val="맑은 고딕"/>
        <family val="3"/>
        <charset val="129"/>
      </rPr>
      <t>称</t>
    </r>
  </si>
  <si>
    <r>
      <rPr>
        <b/>
        <sz val="12"/>
        <color indexed="8"/>
        <rFont val="맑은 고딕"/>
        <family val="3"/>
        <charset val="129"/>
      </rPr>
      <t xml:space="preserve">수량
</t>
    </r>
    <r>
      <rPr>
        <b/>
        <sz val="12"/>
        <color rgb="FF000000"/>
        <rFont val="맑은 고딕"/>
        <family val="3"/>
        <charset val="129"/>
      </rPr>
      <t>数量</t>
    </r>
  </si>
  <si>
    <r>
      <rPr>
        <b/>
        <sz val="12"/>
        <color indexed="8"/>
        <rFont val="맑은 고딕"/>
        <family val="3"/>
        <charset val="129"/>
      </rPr>
      <t>색상/옵션(중국어로 기재)
商品</t>
    </r>
    <r>
      <rPr>
        <b/>
        <sz val="12"/>
        <color rgb="FF000000"/>
        <rFont val="맑은 고딕"/>
        <family val="3"/>
        <charset val="129"/>
      </rPr>
      <t>规格1</t>
    </r>
  </si>
  <si>
    <t>사이즈/규격(중국어로 기재)
商品规格2</t>
  </si>
  <si>
    <r>
      <rPr>
        <b/>
        <sz val="12"/>
        <color indexed="8"/>
        <rFont val="맑은 고딕"/>
        <family val="3"/>
        <charset val="129"/>
      </rPr>
      <t xml:space="preserve">단가
</t>
    </r>
    <r>
      <rPr>
        <b/>
        <sz val="12"/>
        <color rgb="FF000000"/>
        <rFont val="맑은 고딕"/>
        <family val="3"/>
        <charset val="129"/>
      </rPr>
      <t>单价</t>
    </r>
  </si>
  <si>
    <t>비고
备注</t>
  </si>
  <si>
    <t>단가
实付单价</t>
  </si>
  <si>
    <t>주문금액
货品金额</t>
  </si>
  <si>
    <t>배송비
中国国内运费</t>
  </si>
  <si>
    <t>handling charge
加工费单价</t>
  </si>
  <si>
    <t>handling charge
加工费</t>
  </si>
  <si>
    <t>총합계
合计</t>
  </si>
  <si>
    <t>바코드 상품명
(발주서중 해당상품 순번으로 기재)</t>
  </si>
  <si>
    <t>수량
(포장세트수량)</t>
  </si>
  <si>
    <t>바코드 사이즈</t>
  </si>
  <si>
    <t>바코드 번호</t>
  </si>
  <si>
    <t>삼성 플립 케이스</t>
  </si>
  <si>
    <t>https://detail.1688.com/offer/656979988133.html?spm=a260k.dacugeneral.home2019rec.23.663335e4RXR4JT&amp;scm=1007.21237.280932.0&amp;pvid=35971f5a-2e34-4c9d-9017-35850342ee3f&amp;object_id=656979988133&amp;udsPoolId=2274586&amp;resourceId=1797996&amp;resultType=normal</t>
  </si>
  <si>
    <t>三星Zflip5手机壳硬壳fold3纯色黑色保护套case适用Galaxy Zflip3</t>
  </si>
  <si>
    <t>黑色纯色硬壳</t>
  </si>
  <si>
    <t>三星 Z flip 3</t>
  </si>
  <si>
    <t>三星 Z flip 4</t>
  </si>
  <si>
    <t>合计</t>
  </si>
  <si>
    <t>환율</t>
  </si>
  <si>
    <t>汇率</t>
  </si>
  <si>
    <t>상품금액+배송비</t>
  </si>
  <si>
    <t>货品+运费总价</t>
  </si>
  <si>
    <t>수수료</t>
  </si>
  <si>
    <t>手续费</t>
  </si>
  <si>
    <t xml:space="preserve">가공비 </t>
  </si>
  <si>
    <t>加工费</t>
  </si>
  <si>
    <t xml:space="preserve">부가세 </t>
  </si>
  <si>
    <t>附加税</t>
  </si>
  <si>
    <t>총합 부가세포함</t>
  </si>
  <si>
    <t>总价 含附加税</t>
  </si>
  <si>
    <t>NANA INC.
chat : http://pf.kakao.com/_xmXtTs/chat</t>
    <phoneticPr fontId="22" type="noConversion"/>
  </si>
  <si>
    <t>Bank Information of Yasakart:
Beneficiary's Name:  나나아이앤씨 주식회사 
Bank Name: 기업은행
Account No.: 334-104510-04-015
Date：2024.00.00
Estimated Delivery Date：2024.00.00</t>
    <phoneticPr fontId="22" type="noConversion"/>
  </si>
</sst>
</file>

<file path=xl/styles.xml><?xml version="1.0" encoding="utf-8"?>
<styleSheet xmlns="http://schemas.openxmlformats.org/spreadsheetml/2006/main">
  <numFmts count="2">
    <numFmt numFmtId="42" formatCode="_-&quot;₩&quot;* #,##0_-;\-&quot;₩&quot;* #,##0_-;_-&quot;₩&quot;* &quot;-&quot;_-;_-@_-"/>
    <numFmt numFmtId="176" formatCode="_ [$¥-804]* #,##0.00_ ;_ [$¥-804]* \-#,##0.00_ ;_ [$¥-804]* &quot;-&quot;??_ ;_ @_ "/>
  </numFmts>
  <fonts count="23">
    <font>
      <sz val="11"/>
      <color theme="1"/>
      <name val="맑은 고딕"/>
      <charset val="129"/>
      <scheme val="minor"/>
    </font>
    <font>
      <sz val="12"/>
      <color theme="1"/>
      <name val="맑은 고딕"/>
      <charset val="129"/>
      <scheme val="minor"/>
    </font>
    <font>
      <b/>
      <sz val="12"/>
      <color theme="1"/>
      <name val="맑은 고딕"/>
      <charset val="129"/>
      <scheme val="minor"/>
    </font>
    <font>
      <sz val="16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u/>
      <sz val="16"/>
      <color theme="10"/>
      <name val="맑은 고딕"/>
      <family val="3"/>
      <charset val="129"/>
    </font>
    <font>
      <sz val="16"/>
      <color rgb="FF333333"/>
      <name val="맑은 고딕"/>
      <family val="3"/>
      <charset val="129"/>
    </font>
    <font>
      <sz val="16"/>
      <color rgb="FFFF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sz val="16"/>
      <color theme="1"/>
      <name val="맑은 고딕"/>
      <charset val="129"/>
      <scheme val="minor"/>
    </font>
    <font>
      <u/>
      <sz val="11"/>
      <color theme="10"/>
      <name val="맑은 고딕"/>
      <family val="3"/>
      <charset val="129"/>
    </font>
    <font>
      <sz val="11"/>
      <color indexed="8"/>
      <name val="돋움"/>
      <family val="3"/>
      <charset val="129"/>
    </font>
    <font>
      <b/>
      <sz val="16"/>
      <name val="맑은 고딕"/>
      <family val="3"/>
      <charset val="129"/>
    </font>
    <font>
      <b/>
      <sz val="16"/>
      <name val="DengXian"/>
      <family val="2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theme="9" tint="0.79995117038483843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rgb="FF000000"/>
      </top>
      <bottom style="thin">
        <color auto="1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rgb="FF000000"/>
      </right>
      <top/>
      <bottom style="thin">
        <color auto="1"/>
      </bottom>
      <diagonal/>
    </border>
  </borders>
  <cellStyleXfs count="11">
    <xf numFmtId="0" fontId="0" fillId="0" borderId="0">
      <alignment vertical="center"/>
    </xf>
    <xf numFmtId="42" fontId="2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1" fillId="0" borderId="0"/>
    <xf numFmtId="0" fontId="18" fillId="0" borderId="0">
      <alignment vertical="center"/>
    </xf>
  </cellStyleXfs>
  <cellXfs count="9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6" fontId="3" fillId="0" borderId="0" xfId="1" applyNumberFormat="1" applyFont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7" fillId="4" borderId="2" xfId="0" applyFont="1" applyFill="1" applyBorder="1" applyAlignment="1" applyProtection="1">
      <alignment horizontal="center" vertical="center" wrapText="1"/>
      <protection locked="0"/>
    </xf>
    <xf numFmtId="0" fontId="7" fillId="5" borderId="2" xfId="0" applyFont="1" applyFill="1" applyBorder="1" applyAlignment="1" applyProtection="1">
      <alignment horizontal="center" vertical="center" wrapText="1"/>
      <protection locked="0"/>
    </xf>
    <xf numFmtId="0" fontId="7" fillId="6" borderId="2" xfId="0" applyFont="1" applyFill="1" applyBorder="1" applyAlignment="1" applyProtection="1">
      <alignment horizontal="center" vertical="center" wrapText="1"/>
      <protection locked="0"/>
    </xf>
    <xf numFmtId="0" fontId="7" fillId="7" borderId="2" xfId="0" applyFont="1" applyFill="1" applyBorder="1" applyAlignment="1" applyProtection="1">
      <alignment horizontal="center" vertical="center" wrapText="1"/>
      <protection locked="0"/>
    </xf>
    <xf numFmtId="0" fontId="9" fillId="3" borderId="1" xfId="10" applyFont="1" applyFill="1" applyBorder="1" applyAlignment="1" applyProtection="1">
      <alignment horizontal="center" vertical="center" wrapText="1"/>
      <protection locked="0"/>
    </xf>
    <xf numFmtId="0" fontId="10" fillId="3" borderId="1" xfId="1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>
      <alignment vertic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11" fillId="0" borderId="1" xfId="2" applyFont="1" applyFill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176" fontId="4" fillId="0" borderId="0" xfId="1" applyNumberFormat="1" applyFont="1" applyAlignment="1">
      <alignment horizontal="center" vertical="center" wrapText="1"/>
    </xf>
    <xf numFmtId="0" fontId="7" fillId="3" borderId="8" xfId="0" applyFont="1" applyFill="1" applyBorder="1" applyAlignment="1" applyProtection="1">
      <alignment horizontal="center" vertical="center"/>
      <protection locked="0"/>
    </xf>
    <xf numFmtId="176" fontId="7" fillId="3" borderId="1" xfId="1" applyNumberFormat="1" applyFont="1" applyFill="1" applyBorder="1" applyAlignment="1" applyProtection="1">
      <alignment horizontal="center" vertical="center"/>
      <protection locked="0"/>
    </xf>
    <xf numFmtId="0" fontId="7" fillId="3" borderId="6" xfId="0" applyFont="1" applyFill="1" applyBorder="1" applyProtection="1">
      <alignment vertical="center"/>
      <protection locked="0"/>
    </xf>
    <xf numFmtId="176" fontId="9" fillId="3" borderId="1" xfId="1" applyNumberFormat="1" applyFont="1" applyFill="1" applyBorder="1" applyAlignment="1" applyProtection="1">
      <alignment horizontal="center" vertical="center" wrapText="1"/>
      <protection locked="0"/>
    </xf>
    <xf numFmtId="176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Protection="1">
      <alignment vertical="center"/>
      <protection locked="0"/>
    </xf>
    <xf numFmtId="0" fontId="3" fillId="0" borderId="1" xfId="5" applyFont="1" applyBorder="1" applyAlignment="1" applyProtection="1">
      <alignment horizontal="center" vertical="center"/>
      <protection locked="0"/>
    </xf>
    <xf numFmtId="0" fontId="12" fillId="0" borderId="1" xfId="7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176" fontId="3" fillId="0" borderId="1" xfId="1" applyNumberFormat="1" applyFont="1" applyBorder="1" applyAlignment="1" applyProtection="1">
      <alignment horizontal="center" vertical="center"/>
      <protection locked="0"/>
    </xf>
    <xf numFmtId="0" fontId="13" fillId="0" borderId="1" xfId="0" applyFont="1" applyBorder="1" applyProtection="1">
      <alignment vertical="center"/>
      <protection locked="0"/>
    </xf>
    <xf numFmtId="176" fontId="3" fillId="2" borderId="1" xfId="0" applyNumberFormat="1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vertical="center" wrapText="1"/>
      <protection locked="0"/>
    </xf>
    <xf numFmtId="176" fontId="6" fillId="2" borderId="2" xfId="1" applyNumberFormat="1" applyFont="1" applyFill="1" applyBorder="1" applyAlignment="1" applyProtection="1">
      <alignment horizontal="center" vertical="center" wrapText="1"/>
      <protection locked="0"/>
    </xf>
    <xf numFmtId="176" fontId="6" fillId="2" borderId="2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1" xfId="8" applyFont="1" applyFill="1" applyBorder="1" applyAlignment="1">
      <alignment horizontal="center" vertical="center" wrapText="1"/>
    </xf>
    <xf numFmtId="0" fontId="7" fillId="2" borderId="1" xfId="8" applyFont="1" applyFill="1" applyBorder="1" applyAlignment="1">
      <alignment horizontal="center" vertical="center"/>
    </xf>
    <xf numFmtId="176" fontId="3" fillId="2" borderId="1" xfId="0" applyNumberFormat="1" applyFont="1" applyFill="1" applyBorder="1" applyProtection="1">
      <alignment vertical="center"/>
      <protection locked="0"/>
    </xf>
    <xf numFmtId="176" fontId="13" fillId="2" borderId="1" xfId="0" applyNumberFormat="1" applyFont="1" applyFill="1" applyBorder="1" applyAlignment="1" applyProtection="1">
      <alignment vertical="center" wrapText="1"/>
      <protection locked="0"/>
    </xf>
    <xf numFmtId="0" fontId="3" fillId="2" borderId="1" xfId="8" applyFont="1" applyFill="1" applyBorder="1" applyProtection="1">
      <alignment vertical="center"/>
      <protection locked="0"/>
    </xf>
    <xf numFmtId="0" fontId="3" fillId="2" borderId="1" xfId="8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176" fontId="6" fillId="2" borderId="2" xfId="0" applyNumberFormat="1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3" fillId="0" borderId="0" xfId="0" applyFont="1" applyProtection="1">
      <alignment vertical="center"/>
      <protection locked="0"/>
    </xf>
    <xf numFmtId="0" fontId="6" fillId="0" borderId="18" xfId="0" applyFont="1" applyBorder="1" applyAlignment="1" applyProtection="1">
      <alignment horizontal="center" vertical="center" wrapText="1"/>
      <protection locked="0"/>
    </xf>
    <xf numFmtId="176" fontId="6" fillId="0" borderId="21" xfId="0" applyNumberFormat="1" applyFont="1" applyBorder="1" applyAlignment="1" applyProtection="1">
      <alignment horizontal="center" vertical="center" wrapText="1"/>
      <protection locked="0"/>
    </xf>
    <xf numFmtId="176" fontId="6" fillId="0" borderId="23" xfId="0" applyNumberFormat="1" applyFont="1" applyBorder="1" applyAlignment="1" applyProtection="1">
      <alignment horizontal="center" vertical="center" wrapText="1"/>
      <protection locked="0"/>
    </xf>
    <xf numFmtId="176" fontId="15" fillId="8" borderId="25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Alignment="1">
      <alignment horizontal="center" vertical="center"/>
    </xf>
    <xf numFmtId="0" fontId="11" fillId="0" borderId="0" xfId="2" applyFont="1" applyAlignment="1">
      <alignment horizontal="center" vertical="center" wrapText="1"/>
    </xf>
    <xf numFmtId="0" fontId="15" fillId="8" borderId="6" xfId="0" applyFont="1" applyFill="1" applyBorder="1" applyAlignment="1" applyProtection="1">
      <alignment horizontal="center" vertical="center" wrapText="1"/>
      <protection locked="0"/>
    </xf>
    <xf numFmtId="0" fontId="15" fillId="8" borderId="7" xfId="0" applyFont="1" applyFill="1" applyBorder="1" applyAlignment="1" applyProtection="1">
      <alignment horizontal="center" vertical="center" wrapText="1"/>
      <protection locked="0"/>
    </xf>
    <xf numFmtId="42" fontId="6" fillId="9" borderId="14" xfId="0" applyNumberFormat="1" applyFont="1" applyFill="1" applyBorder="1" applyAlignment="1" applyProtection="1">
      <alignment horizontal="center" vertical="center" wrapText="1"/>
      <protection locked="0"/>
    </xf>
    <xf numFmtId="42" fontId="6" fillId="9" borderId="24" xfId="0" applyNumberFormat="1" applyFont="1" applyFill="1" applyBorder="1" applyAlignment="1" applyProtection="1">
      <alignment horizontal="center" vertical="center" wrapText="1"/>
      <protection locked="0"/>
    </xf>
    <xf numFmtId="176" fontId="15" fillId="8" borderId="20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4" xfId="0" applyFont="1" applyBorder="1" applyAlignment="1" applyProtection="1">
      <alignment horizontal="left" vertical="center" wrapText="1"/>
      <protection locked="0"/>
    </xf>
    <xf numFmtId="0" fontId="6" fillId="0" borderId="9" xfId="0" applyFont="1" applyBorder="1" applyAlignment="1" applyProtection="1">
      <alignment horizontal="left" vertical="center" wrapText="1"/>
      <protection locked="0"/>
    </xf>
    <xf numFmtId="0" fontId="6" fillId="0" borderId="5" xfId="0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6" fillId="0" borderId="6" xfId="0" applyFont="1" applyBorder="1" applyAlignment="1" applyProtection="1">
      <alignment horizontal="left" vertical="center" wrapText="1"/>
      <protection locked="0"/>
    </xf>
    <xf numFmtId="0" fontId="14" fillId="0" borderId="14" xfId="0" applyFont="1" applyBorder="1" applyAlignment="1" applyProtection="1">
      <alignment horizontal="center" vertical="center" wrapText="1"/>
      <protection locked="0"/>
    </xf>
    <xf numFmtId="0" fontId="14" fillId="0" borderId="15" xfId="0" applyFont="1" applyBorder="1" applyAlignment="1" applyProtection="1">
      <alignment horizontal="center" vertical="center" wrapText="1"/>
      <protection locked="0"/>
    </xf>
    <xf numFmtId="42" fontId="14" fillId="0" borderId="22" xfId="0" applyNumberFormat="1" applyFont="1" applyBorder="1" applyAlignment="1" applyProtection="1">
      <alignment horizontal="center" vertical="center" wrapText="1"/>
      <protection locked="0"/>
    </xf>
    <xf numFmtId="42" fontId="14" fillId="0" borderId="0" xfId="0" applyNumberFormat="1" applyFont="1" applyAlignment="1" applyProtection="1">
      <alignment horizontal="center" vertical="center" wrapText="1"/>
      <protection locked="0"/>
    </xf>
    <xf numFmtId="176" fontId="6" fillId="0" borderId="20" xfId="0" applyNumberFormat="1" applyFont="1" applyBorder="1" applyAlignment="1" applyProtection="1">
      <alignment horizontal="center" vertical="center" wrapText="1"/>
      <protection locked="0"/>
    </xf>
    <xf numFmtId="0" fontId="14" fillId="0" borderId="6" xfId="0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42" fontId="14" fillId="0" borderId="12" xfId="0" applyNumberFormat="1" applyFont="1" applyBorder="1" applyAlignment="1" applyProtection="1">
      <alignment horizontal="center" vertical="center" wrapText="1"/>
      <protection locked="0"/>
    </xf>
    <xf numFmtId="42" fontId="14" fillId="0" borderId="19" xfId="0" applyNumberFormat="1" applyFont="1" applyBorder="1" applyAlignment="1" applyProtection="1">
      <alignment horizontal="center" vertical="center" wrapText="1"/>
      <protection locked="0"/>
    </xf>
    <xf numFmtId="0" fontId="14" fillId="0" borderId="12" xfId="0" applyFont="1" applyBorder="1" applyAlignment="1" applyProtection="1">
      <alignment horizontal="center" vertical="center" wrapText="1"/>
      <protection locked="0"/>
    </xf>
    <xf numFmtId="0" fontId="14" fillId="0" borderId="13" xfId="0" applyFont="1" applyBorder="1" applyAlignment="1" applyProtection="1">
      <alignment horizontal="center" vertical="center" wrapText="1"/>
      <protection locked="0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14" fillId="0" borderId="10" xfId="0" applyFont="1" applyBorder="1" applyAlignment="1" applyProtection="1">
      <alignment horizontal="center" vertical="center" wrapText="1"/>
      <protection locked="0"/>
    </xf>
    <xf numFmtId="0" fontId="14" fillId="0" borderId="11" xfId="0" applyFont="1" applyBorder="1" applyAlignment="1" applyProtection="1">
      <alignment horizontal="center" vertical="center" wrapText="1"/>
      <protection locked="0"/>
    </xf>
    <xf numFmtId="0" fontId="14" fillId="0" borderId="16" xfId="0" applyFont="1" applyBorder="1" applyAlignment="1" applyProtection="1">
      <alignment horizontal="center" vertical="center" wrapText="1"/>
      <protection locked="0"/>
    </xf>
    <xf numFmtId="0" fontId="14" fillId="0" borderId="17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0" fontId="7" fillId="3" borderId="7" xfId="0" applyFont="1" applyFill="1" applyBorder="1" applyAlignment="1" applyProtection="1">
      <alignment horizontal="center" vertical="center"/>
      <protection locked="0"/>
    </xf>
    <xf numFmtId="0" fontId="7" fillId="3" borderId="8" xfId="0" applyFont="1" applyFill="1" applyBorder="1" applyAlignment="1" applyProtection="1">
      <alignment horizontal="center" vertical="center"/>
      <protection locked="0"/>
    </xf>
  </cellXfs>
  <cellStyles count="11">
    <cellStyle name="통화 [0]" xfId="1" builtinId="7"/>
    <cellStyle name="표준" xfId="0" builtinId="0"/>
    <cellStyle name="표준 2" xfId="3"/>
    <cellStyle name="표준 3" xfId="4"/>
    <cellStyle name="표준 4" xfId="5"/>
    <cellStyle name="표준 5" xfId="6"/>
    <cellStyle name="표준 6" xfId="7"/>
    <cellStyle name="표준 7" xfId="8"/>
    <cellStyle name="표준 8" xfId="9"/>
    <cellStyle name="표준_Sheet1" xfId="1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274320</xdr:colOff>
      <xdr:row>7</xdr:row>
      <xdr:rowOff>99609</xdr:rowOff>
    </xdr:from>
    <xdr:to>
      <xdr:col>5</xdr:col>
      <xdr:colOff>1352550</xdr:colOff>
      <xdr:row>7</xdr:row>
      <xdr:rowOff>1184991</xdr:rowOff>
    </xdr:to>
    <xdr:pic>
      <xdr:nvPicPr>
        <xdr:cNvPr id="4" name="그림 8" descr="20231019_103444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79770" y="5489575"/>
          <a:ext cx="1078230" cy="1085850"/>
        </a:xfrm>
        <a:prstGeom prst="rect">
          <a:avLst/>
        </a:prstGeom>
      </xdr:spPr>
    </xdr:pic>
    <xdr:clientData/>
  </xdr:twoCellAnchor>
  <xdr:twoCellAnchor editAs="oneCell">
    <xdr:from>
      <xdr:col>5</xdr:col>
      <xdr:colOff>266700</xdr:colOff>
      <xdr:row>8</xdr:row>
      <xdr:rowOff>76200</xdr:rowOff>
    </xdr:from>
    <xdr:to>
      <xdr:col>5</xdr:col>
      <xdr:colOff>1371600</xdr:colOff>
      <xdr:row>8</xdr:row>
      <xdr:rowOff>1180609</xdr:rowOff>
    </xdr:to>
    <xdr:pic>
      <xdr:nvPicPr>
        <xdr:cNvPr id="5" name="그림 9" descr="20231019_103503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772150" y="6736080"/>
          <a:ext cx="1104900" cy="1104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etail.1688.com/offer/656979988133.html?spm=a260k.dacugeneral.home2019rec.23.663335e4RXR4JT&amp;scm=1007.21237.280932.0&amp;pvid=35971f5a-2e34-4c9d-9017-35850342ee3f&amp;object_id=656979988133&amp;udsPoolId=2274586&amp;resourceId=1797996&amp;resultType=normal" TargetMode="External"/><Relationship Id="rId1" Type="http://schemas.openxmlformats.org/officeDocument/2006/relationships/hyperlink" Target="https://detail.1688.com/offer/656979988133.html?spm=a260k.dacugeneral.home2019rec.23.663335e4RXR4JT&amp;scm=1007.21237.280932.0&amp;pvid=35971f5a-2e34-4c9d-9017-35850342ee3f&amp;object_id=656979988133&amp;udsPoolId=2274586&amp;resourceId=1797996&amp;resultType=normal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78"/>
  <sheetViews>
    <sheetView tabSelected="1" zoomScale="50" zoomScaleNormal="50" workbookViewId="0">
      <pane xSplit="4" ySplit="7" topLeftCell="E8" activePane="bottomRight" state="frozen"/>
      <selection pane="topRight"/>
      <selection pane="bottomLeft"/>
      <selection pane="bottomRight" activeCell="J68" sqref="J68"/>
    </sheetView>
  </sheetViews>
  <sheetFormatPr defaultColWidth="9" defaultRowHeight="26.25"/>
  <cols>
    <col min="1" max="1" width="14.25" style="4" customWidth="1"/>
    <col min="2" max="2" width="16.5" style="5" customWidth="1"/>
    <col min="3" max="3" width="16" style="5" customWidth="1"/>
    <col min="4" max="4" width="14.25" style="5" customWidth="1"/>
    <col min="5" max="5" width="11.25" style="6" customWidth="1"/>
    <col min="6" max="6" width="25.5" style="6" customWidth="1"/>
    <col min="7" max="7" width="30.25" style="6" customWidth="1"/>
    <col min="8" max="8" width="19.75" style="6" customWidth="1"/>
    <col min="9" max="9" width="18.125" style="6" customWidth="1"/>
    <col min="10" max="10" width="16" style="6" customWidth="1"/>
    <col min="11" max="11" width="25.75" style="6" customWidth="1"/>
    <col min="12" max="12" width="26.625" style="6" customWidth="1"/>
    <col min="13" max="13" width="17.625" style="7" customWidth="1"/>
    <col min="14" max="14" width="25.125" style="6" customWidth="1"/>
    <col min="15" max="15" width="21.5" style="6" customWidth="1"/>
    <col min="16" max="16" width="19.625" style="6" customWidth="1"/>
    <col min="17" max="17" width="15.625" style="6" customWidth="1"/>
    <col min="18" max="18" width="15.5" style="6" customWidth="1"/>
    <col min="19" max="19" width="15.75" style="5" customWidth="1"/>
    <col min="20" max="20" width="20.5" style="5" customWidth="1"/>
    <col min="21" max="21" width="29.125" style="5" customWidth="1"/>
    <col min="22" max="22" width="39.375" style="4" customWidth="1"/>
    <col min="23" max="23" width="17.25" style="4" customWidth="1"/>
    <col min="24" max="24" width="31.625" style="4" customWidth="1"/>
    <col min="25" max="25" width="33.25" style="4" customWidth="1"/>
  </cols>
  <sheetData>
    <row r="1" spans="1:26" s="1" customFormat="1" ht="30" customHeight="1">
      <c r="A1" s="8"/>
      <c r="B1" s="9"/>
      <c r="C1" s="9"/>
      <c r="D1" s="9"/>
      <c r="E1" s="10"/>
      <c r="F1" s="10"/>
      <c r="G1" s="10"/>
      <c r="H1" s="10"/>
      <c r="I1" s="10"/>
      <c r="J1" s="10"/>
      <c r="K1" s="10"/>
      <c r="L1" s="10"/>
      <c r="M1" s="26"/>
      <c r="N1" s="10"/>
      <c r="O1" s="10"/>
      <c r="P1" s="10"/>
      <c r="Q1" s="10"/>
      <c r="R1" s="10"/>
      <c r="S1" s="9"/>
      <c r="T1" s="9"/>
      <c r="U1" s="9"/>
      <c r="V1" s="8"/>
      <c r="W1" s="8"/>
      <c r="X1" s="8"/>
      <c r="Y1" s="8"/>
    </row>
    <row r="2" spans="1:26" s="1" customFormat="1" ht="37.9" customHeight="1">
      <c r="A2" s="8"/>
      <c r="B2" s="9"/>
      <c r="C2" s="9"/>
      <c r="D2" s="9"/>
      <c r="E2" s="87" t="s">
        <v>0</v>
      </c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63" t="s">
        <v>1</v>
      </c>
      <c r="W2" s="64"/>
      <c r="X2" s="64"/>
      <c r="Y2" s="64"/>
    </row>
    <row r="3" spans="1:26" s="1" customFormat="1" ht="40.5" customHeight="1">
      <c r="A3" s="8"/>
      <c r="B3" s="9"/>
      <c r="C3" s="9"/>
      <c r="D3" s="9"/>
      <c r="E3" s="87" t="s">
        <v>53</v>
      </c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64"/>
      <c r="W3" s="64"/>
      <c r="X3" s="64"/>
      <c r="Y3" s="64"/>
    </row>
    <row r="4" spans="1:26" s="1" customFormat="1" ht="33.4" customHeight="1">
      <c r="A4" s="8"/>
      <c r="B4" s="9"/>
      <c r="C4" s="9"/>
      <c r="D4" s="9"/>
      <c r="E4" s="88" t="s">
        <v>2</v>
      </c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64"/>
      <c r="W4" s="64"/>
      <c r="X4" s="64"/>
      <c r="Y4" s="64"/>
    </row>
    <row r="5" spans="1:26" s="1" customFormat="1" ht="55.5" customHeight="1">
      <c r="A5" s="8"/>
      <c r="B5" s="9"/>
      <c r="C5" s="9"/>
      <c r="D5" s="9"/>
      <c r="E5" s="11" t="s">
        <v>3</v>
      </c>
      <c r="F5" s="11" t="s">
        <v>4</v>
      </c>
      <c r="G5" s="12"/>
      <c r="H5" s="11" t="s">
        <v>5</v>
      </c>
      <c r="I5" s="89"/>
      <c r="J5" s="90"/>
      <c r="K5" s="12" t="s">
        <v>6</v>
      </c>
      <c r="L5" s="27"/>
      <c r="M5" s="28" t="s">
        <v>7</v>
      </c>
      <c r="N5" s="29"/>
      <c r="O5" s="11" t="s">
        <v>8</v>
      </c>
      <c r="P5" s="89"/>
      <c r="Q5" s="91"/>
      <c r="R5" s="91"/>
      <c r="S5" s="91"/>
      <c r="T5" s="91"/>
      <c r="U5" s="90"/>
      <c r="V5" s="64"/>
      <c r="W5" s="64"/>
      <c r="X5" s="64"/>
      <c r="Y5" s="64"/>
    </row>
    <row r="6" spans="1:26" s="1" customFormat="1" ht="159.94999999999999" customHeight="1">
      <c r="A6" s="8"/>
      <c r="B6" s="9"/>
      <c r="C6" s="9"/>
      <c r="D6" s="9"/>
      <c r="E6" s="63" t="s">
        <v>9</v>
      </c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</row>
    <row r="7" spans="1:26" s="2" customFormat="1" ht="67.150000000000006" customHeight="1">
      <c r="A7" s="13" t="s">
        <v>10</v>
      </c>
      <c r="B7" s="14" t="s">
        <v>11</v>
      </c>
      <c r="C7" s="15" t="s">
        <v>12</v>
      </c>
      <c r="D7" s="16" t="s">
        <v>13</v>
      </c>
      <c r="E7" s="17" t="s">
        <v>14</v>
      </c>
      <c r="F7" s="17" t="s">
        <v>15</v>
      </c>
      <c r="G7" s="18" t="s">
        <v>16</v>
      </c>
      <c r="H7" s="17" t="s">
        <v>17</v>
      </c>
      <c r="I7" s="17" t="s">
        <v>18</v>
      </c>
      <c r="J7" s="17" t="s">
        <v>19</v>
      </c>
      <c r="K7" s="17" t="s">
        <v>20</v>
      </c>
      <c r="L7" s="18" t="s">
        <v>21</v>
      </c>
      <c r="M7" s="30" t="s">
        <v>22</v>
      </c>
      <c r="N7" s="11" t="s">
        <v>23</v>
      </c>
      <c r="O7" s="31" t="s">
        <v>24</v>
      </c>
      <c r="P7" s="31" t="s">
        <v>25</v>
      </c>
      <c r="Q7" s="31" t="s">
        <v>26</v>
      </c>
      <c r="R7" s="31" t="s">
        <v>27</v>
      </c>
      <c r="S7" s="31" t="s">
        <v>28</v>
      </c>
      <c r="T7" s="31" t="s">
        <v>29</v>
      </c>
      <c r="U7" s="31" t="s">
        <v>23</v>
      </c>
      <c r="V7" s="42" t="s">
        <v>30</v>
      </c>
      <c r="W7" s="42" t="s">
        <v>31</v>
      </c>
      <c r="X7" s="43" t="s">
        <v>32</v>
      </c>
      <c r="Y7" s="43" t="s">
        <v>33</v>
      </c>
    </row>
    <row r="8" spans="1:26" s="3" customFormat="1" ht="99.95" customHeight="1">
      <c r="A8" s="19"/>
      <c r="B8" s="4"/>
      <c r="C8" s="19"/>
      <c r="D8" s="19"/>
      <c r="E8" s="20">
        <v>1</v>
      </c>
      <c r="F8" s="21"/>
      <c r="G8" s="22" t="s">
        <v>34</v>
      </c>
      <c r="H8" s="23" t="s">
        <v>35</v>
      </c>
      <c r="I8" s="32" t="s">
        <v>36</v>
      </c>
      <c r="J8" s="33">
        <v>20</v>
      </c>
      <c r="K8" s="34" t="s">
        <v>37</v>
      </c>
      <c r="L8" s="35" t="s">
        <v>38</v>
      </c>
      <c r="M8" s="36">
        <v>4</v>
      </c>
      <c r="N8" s="37"/>
      <c r="O8" s="38"/>
      <c r="P8" s="38">
        <f>O8*J8</f>
        <v>0</v>
      </c>
      <c r="Q8" s="44"/>
      <c r="R8" s="38"/>
      <c r="S8" s="38">
        <f>R8*J8</f>
        <v>0</v>
      </c>
      <c r="T8" s="44">
        <f>SUM(P8:Q8)</f>
        <v>0</v>
      </c>
      <c r="U8" s="45"/>
      <c r="V8" s="46"/>
      <c r="W8" s="47"/>
      <c r="X8" s="46"/>
      <c r="Y8" s="46"/>
      <c r="Z8" s="56"/>
    </row>
    <row r="9" spans="1:26" s="3" customFormat="1" ht="99.95" customHeight="1">
      <c r="A9" s="19"/>
      <c r="B9" s="19"/>
      <c r="C9" s="19"/>
      <c r="D9" s="19"/>
      <c r="E9" s="20">
        <v>2</v>
      </c>
      <c r="F9" s="21"/>
      <c r="G9" s="22" t="s">
        <v>34</v>
      </c>
      <c r="H9" s="23" t="s">
        <v>35</v>
      </c>
      <c r="I9" s="32" t="s">
        <v>36</v>
      </c>
      <c r="J9" s="33">
        <v>20</v>
      </c>
      <c r="K9" s="34" t="s">
        <v>37</v>
      </c>
      <c r="L9" s="33" t="s">
        <v>39</v>
      </c>
      <c r="M9" s="36">
        <v>4</v>
      </c>
      <c r="N9" s="37"/>
      <c r="O9" s="38"/>
      <c r="P9" s="38">
        <f t="shared" ref="P9:P40" si="0">O9*J9</f>
        <v>0</v>
      </c>
      <c r="Q9" s="44"/>
      <c r="R9" s="38"/>
      <c r="S9" s="38">
        <f t="shared" ref="S9:S40" si="1">R9*J9</f>
        <v>0</v>
      </c>
      <c r="T9" s="44">
        <f t="shared" ref="T9:T57" si="2">SUM(P9:Q9)</f>
        <v>0</v>
      </c>
      <c r="U9" s="45"/>
      <c r="V9" s="46"/>
      <c r="W9" s="47"/>
      <c r="X9" s="46"/>
      <c r="Y9" s="46"/>
      <c r="Z9" s="56"/>
    </row>
    <row r="10" spans="1:26" s="3" customFormat="1" ht="99.95" customHeight="1">
      <c r="A10" s="19"/>
      <c r="B10" s="19"/>
      <c r="C10" s="19"/>
      <c r="D10" s="19"/>
      <c r="E10" s="20">
        <v>3</v>
      </c>
      <c r="F10" s="21"/>
      <c r="G10" s="24"/>
      <c r="H10" s="23"/>
      <c r="I10" s="24"/>
      <c r="J10" s="33"/>
      <c r="K10" s="35"/>
      <c r="L10" s="24"/>
      <c r="M10" s="36"/>
      <c r="N10" s="39"/>
      <c r="O10" s="38"/>
      <c r="P10" s="38">
        <f t="shared" si="0"/>
        <v>0</v>
      </c>
      <c r="Q10" s="44"/>
      <c r="R10" s="38"/>
      <c r="S10" s="38">
        <f t="shared" si="1"/>
        <v>0</v>
      </c>
      <c r="T10" s="44">
        <f t="shared" si="2"/>
        <v>0</v>
      </c>
      <c r="U10" s="45"/>
      <c r="V10" s="46"/>
      <c r="W10" s="47"/>
      <c r="X10" s="46"/>
      <c r="Y10" s="46"/>
      <c r="Z10" s="56"/>
    </row>
    <row r="11" spans="1:26" s="3" customFormat="1" ht="99.95" customHeight="1">
      <c r="A11" s="19"/>
      <c r="B11" s="19"/>
      <c r="C11" s="19"/>
      <c r="D11" s="19"/>
      <c r="E11" s="20">
        <v>4</v>
      </c>
      <c r="F11" s="21"/>
      <c r="G11" s="24"/>
      <c r="H11" s="23"/>
      <c r="I11" s="24"/>
      <c r="J11" s="33"/>
      <c r="K11" s="35"/>
      <c r="L11" s="24"/>
      <c r="M11" s="36"/>
      <c r="N11" s="39"/>
      <c r="O11" s="38"/>
      <c r="P11" s="38">
        <f t="shared" si="0"/>
        <v>0</v>
      </c>
      <c r="Q11" s="44"/>
      <c r="R11" s="38"/>
      <c r="S11" s="38">
        <f t="shared" si="1"/>
        <v>0</v>
      </c>
      <c r="T11" s="44">
        <f t="shared" si="2"/>
        <v>0</v>
      </c>
      <c r="U11" s="45"/>
      <c r="V11" s="46"/>
      <c r="W11" s="47"/>
      <c r="X11" s="46"/>
      <c r="Y11" s="46"/>
      <c r="Z11" s="56"/>
    </row>
    <row r="12" spans="1:26" s="3" customFormat="1" ht="99.95" customHeight="1">
      <c r="A12" s="19"/>
      <c r="B12" s="19"/>
      <c r="C12" s="19"/>
      <c r="D12" s="19"/>
      <c r="E12" s="20">
        <v>5</v>
      </c>
      <c r="F12" s="21"/>
      <c r="G12" s="24"/>
      <c r="H12" s="23"/>
      <c r="I12" s="24"/>
      <c r="J12" s="33"/>
      <c r="K12" s="35"/>
      <c r="L12" s="24"/>
      <c r="M12" s="36"/>
      <c r="N12" s="39"/>
      <c r="O12" s="38"/>
      <c r="P12" s="38">
        <f t="shared" si="0"/>
        <v>0</v>
      </c>
      <c r="Q12" s="44"/>
      <c r="R12" s="38"/>
      <c r="S12" s="38">
        <f t="shared" si="1"/>
        <v>0</v>
      </c>
      <c r="T12" s="44">
        <f t="shared" si="2"/>
        <v>0</v>
      </c>
      <c r="U12" s="45"/>
      <c r="V12" s="46"/>
      <c r="W12" s="47"/>
      <c r="X12" s="46"/>
      <c r="Y12" s="46"/>
      <c r="Z12" s="56"/>
    </row>
    <row r="13" spans="1:26" s="3" customFormat="1" ht="99.95" customHeight="1">
      <c r="A13" s="19"/>
      <c r="B13" s="19"/>
      <c r="C13" s="19"/>
      <c r="D13" s="19"/>
      <c r="E13" s="20">
        <v>6</v>
      </c>
      <c r="F13" s="21"/>
      <c r="G13" s="24"/>
      <c r="H13" s="23"/>
      <c r="I13" s="24"/>
      <c r="J13" s="33"/>
      <c r="K13" s="34"/>
      <c r="L13" s="24"/>
      <c r="M13" s="36"/>
      <c r="N13" s="39"/>
      <c r="O13" s="38"/>
      <c r="P13" s="38">
        <f t="shared" si="0"/>
        <v>0</v>
      </c>
      <c r="Q13" s="44"/>
      <c r="R13" s="38"/>
      <c r="S13" s="38">
        <f t="shared" si="1"/>
        <v>0</v>
      </c>
      <c r="T13" s="44">
        <f t="shared" si="2"/>
        <v>0</v>
      </c>
      <c r="U13" s="45"/>
      <c r="V13" s="46"/>
      <c r="W13" s="47"/>
      <c r="X13" s="46"/>
      <c r="Y13" s="46"/>
      <c r="Z13" s="56"/>
    </row>
    <row r="14" spans="1:26" s="3" customFormat="1" ht="99.95" customHeight="1">
      <c r="A14" s="19"/>
      <c r="B14" s="19"/>
      <c r="C14" s="19"/>
      <c r="D14" s="19"/>
      <c r="E14" s="20">
        <v>7</v>
      </c>
      <c r="F14" s="21"/>
      <c r="G14" s="24"/>
      <c r="H14" s="23"/>
      <c r="I14" s="24"/>
      <c r="J14" s="33"/>
      <c r="K14" s="34"/>
      <c r="L14" s="24"/>
      <c r="M14" s="36"/>
      <c r="N14" s="39"/>
      <c r="O14" s="38"/>
      <c r="P14" s="38">
        <f t="shared" si="0"/>
        <v>0</v>
      </c>
      <c r="Q14" s="44"/>
      <c r="R14" s="38"/>
      <c r="S14" s="38">
        <f t="shared" si="1"/>
        <v>0</v>
      </c>
      <c r="T14" s="44">
        <f t="shared" si="2"/>
        <v>0</v>
      </c>
      <c r="U14" s="45"/>
      <c r="V14" s="46"/>
      <c r="W14" s="47"/>
      <c r="X14" s="46"/>
      <c r="Y14" s="46"/>
      <c r="Z14" s="56"/>
    </row>
    <row r="15" spans="1:26" s="3" customFormat="1" ht="99.95" customHeight="1">
      <c r="A15" s="19"/>
      <c r="B15" s="19"/>
      <c r="C15" s="19"/>
      <c r="D15" s="19"/>
      <c r="E15" s="20">
        <v>8</v>
      </c>
      <c r="F15" s="21"/>
      <c r="G15" s="24"/>
      <c r="H15" s="23"/>
      <c r="I15" s="24"/>
      <c r="J15" s="33"/>
      <c r="K15" s="34"/>
      <c r="L15" s="24"/>
      <c r="M15" s="36"/>
      <c r="N15" s="39"/>
      <c r="O15" s="38"/>
      <c r="P15" s="38">
        <f t="shared" si="0"/>
        <v>0</v>
      </c>
      <c r="Q15" s="44"/>
      <c r="R15" s="38"/>
      <c r="S15" s="38">
        <f t="shared" si="1"/>
        <v>0</v>
      </c>
      <c r="T15" s="44">
        <f t="shared" si="2"/>
        <v>0</v>
      </c>
      <c r="U15" s="45"/>
      <c r="V15" s="46"/>
      <c r="W15" s="47"/>
      <c r="X15" s="46"/>
      <c r="Y15" s="46"/>
      <c r="Z15" s="56"/>
    </row>
    <row r="16" spans="1:26" s="3" customFormat="1" ht="99.95" customHeight="1">
      <c r="A16" s="19"/>
      <c r="B16" s="19"/>
      <c r="C16" s="19"/>
      <c r="D16" s="19"/>
      <c r="E16" s="20">
        <v>9</v>
      </c>
      <c r="F16" s="21"/>
      <c r="G16" s="24"/>
      <c r="H16" s="23"/>
      <c r="I16" s="24"/>
      <c r="J16" s="33"/>
      <c r="K16" s="34"/>
      <c r="L16" s="24"/>
      <c r="M16" s="36"/>
      <c r="N16" s="39"/>
      <c r="O16" s="38"/>
      <c r="P16" s="38">
        <f t="shared" si="0"/>
        <v>0</v>
      </c>
      <c r="Q16" s="38"/>
      <c r="R16" s="38"/>
      <c r="S16" s="38">
        <f t="shared" si="1"/>
        <v>0</v>
      </c>
      <c r="T16" s="38">
        <f t="shared" si="2"/>
        <v>0</v>
      </c>
      <c r="U16" s="45"/>
      <c r="V16" s="46"/>
      <c r="W16" s="47"/>
      <c r="X16" s="46"/>
      <c r="Y16" s="46"/>
      <c r="Z16" s="56"/>
    </row>
    <row r="17" spans="1:26" s="3" customFormat="1" ht="99.95" customHeight="1">
      <c r="A17" s="19"/>
      <c r="B17" s="19"/>
      <c r="C17" s="19"/>
      <c r="D17" s="19"/>
      <c r="E17" s="20">
        <v>10</v>
      </c>
      <c r="F17" s="21"/>
      <c r="G17" s="24"/>
      <c r="H17" s="23"/>
      <c r="I17" s="24"/>
      <c r="J17" s="33"/>
      <c r="K17" s="34"/>
      <c r="L17" s="24"/>
      <c r="M17" s="36"/>
      <c r="N17" s="39"/>
      <c r="O17" s="38"/>
      <c r="P17" s="38">
        <f t="shared" si="0"/>
        <v>0</v>
      </c>
      <c r="Q17" s="38"/>
      <c r="R17" s="38"/>
      <c r="S17" s="38">
        <f t="shared" si="1"/>
        <v>0</v>
      </c>
      <c r="T17" s="38">
        <f t="shared" si="2"/>
        <v>0</v>
      </c>
      <c r="U17" s="45"/>
      <c r="V17" s="48"/>
      <c r="W17" s="48"/>
      <c r="X17" s="48"/>
      <c r="Y17" s="48"/>
      <c r="Z17" s="56"/>
    </row>
    <row r="18" spans="1:26" s="3" customFormat="1" ht="99.95" customHeight="1">
      <c r="A18" s="19"/>
      <c r="B18" s="19"/>
      <c r="C18" s="19"/>
      <c r="D18" s="19"/>
      <c r="E18" s="20">
        <v>11</v>
      </c>
      <c r="F18" s="21"/>
      <c r="G18" s="24"/>
      <c r="H18" s="23"/>
      <c r="I18" s="24"/>
      <c r="J18" s="33"/>
      <c r="K18" s="34"/>
      <c r="L18" s="24"/>
      <c r="M18" s="36"/>
      <c r="N18" s="39"/>
      <c r="O18" s="38"/>
      <c r="P18" s="38">
        <f t="shared" si="0"/>
        <v>0</v>
      </c>
      <c r="Q18" s="38"/>
      <c r="R18" s="38"/>
      <c r="S18" s="38">
        <f t="shared" si="1"/>
        <v>0</v>
      </c>
      <c r="T18" s="38">
        <f t="shared" si="2"/>
        <v>0</v>
      </c>
      <c r="U18" s="45"/>
      <c r="V18" s="48"/>
      <c r="W18" s="48"/>
      <c r="X18" s="48"/>
      <c r="Y18" s="48"/>
      <c r="Z18" s="56"/>
    </row>
    <row r="19" spans="1:26" s="3" customFormat="1" ht="99.95" customHeight="1">
      <c r="A19" s="19"/>
      <c r="B19" s="19"/>
      <c r="C19" s="19"/>
      <c r="D19" s="19"/>
      <c r="E19" s="20">
        <v>12</v>
      </c>
      <c r="F19" s="21"/>
      <c r="G19" s="24"/>
      <c r="H19" s="23"/>
      <c r="I19" s="24"/>
      <c r="J19" s="33"/>
      <c r="K19" s="34"/>
      <c r="L19" s="24"/>
      <c r="M19" s="36"/>
      <c r="N19" s="39"/>
      <c r="O19" s="38"/>
      <c r="P19" s="38">
        <f t="shared" si="0"/>
        <v>0</v>
      </c>
      <c r="Q19" s="38"/>
      <c r="R19" s="38"/>
      <c r="S19" s="38">
        <f t="shared" si="1"/>
        <v>0</v>
      </c>
      <c r="T19" s="38">
        <f t="shared" si="2"/>
        <v>0</v>
      </c>
      <c r="U19" s="45"/>
      <c r="V19" s="48"/>
      <c r="W19" s="48"/>
      <c r="X19" s="48"/>
      <c r="Y19" s="48"/>
      <c r="Z19" s="56"/>
    </row>
    <row r="20" spans="1:26" s="3" customFormat="1" ht="99.95" customHeight="1">
      <c r="A20" s="19"/>
      <c r="B20" s="19"/>
      <c r="C20" s="19"/>
      <c r="D20" s="19"/>
      <c r="E20" s="20">
        <v>13</v>
      </c>
      <c r="F20" s="21"/>
      <c r="G20" s="24"/>
      <c r="H20" s="23"/>
      <c r="I20" s="24"/>
      <c r="J20" s="33"/>
      <c r="K20" s="34"/>
      <c r="L20" s="24"/>
      <c r="M20" s="36"/>
      <c r="N20" s="39"/>
      <c r="O20" s="38"/>
      <c r="P20" s="38">
        <f t="shared" si="0"/>
        <v>0</v>
      </c>
      <c r="Q20" s="38"/>
      <c r="R20" s="38"/>
      <c r="S20" s="38">
        <f t="shared" si="1"/>
        <v>0</v>
      </c>
      <c r="T20" s="38">
        <f t="shared" si="2"/>
        <v>0</v>
      </c>
      <c r="U20" s="45"/>
      <c r="V20" s="48"/>
      <c r="W20" s="48"/>
      <c r="X20" s="48"/>
      <c r="Y20" s="48"/>
      <c r="Z20" s="56"/>
    </row>
    <row r="21" spans="1:26" s="3" customFormat="1" ht="99.95" customHeight="1">
      <c r="A21" s="19"/>
      <c r="B21" s="19"/>
      <c r="C21" s="19"/>
      <c r="D21" s="19"/>
      <c r="E21" s="20">
        <v>14</v>
      </c>
      <c r="F21" s="21"/>
      <c r="G21" s="24"/>
      <c r="H21" s="23"/>
      <c r="I21" s="24"/>
      <c r="J21" s="33"/>
      <c r="K21" s="34"/>
      <c r="L21" s="24"/>
      <c r="M21" s="36"/>
      <c r="N21" s="39"/>
      <c r="O21" s="38"/>
      <c r="P21" s="38">
        <f t="shared" si="0"/>
        <v>0</v>
      </c>
      <c r="Q21" s="38"/>
      <c r="R21" s="38"/>
      <c r="S21" s="38">
        <f t="shared" si="1"/>
        <v>0</v>
      </c>
      <c r="T21" s="38">
        <f t="shared" si="2"/>
        <v>0</v>
      </c>
      <c r="U21" s="45"/>
      <c r="V21" s="48"/>
      <c r="W21" s="48"/>
      <c r="X21" s="48"/>
      <c r="Y21" s="48"/>
      <c r="Z21" s="56"/>
    </row>
    <row r="22" spans="1:26" s="3" customFormat="1" ht="99.95" customHeight="1">
      <c r="A22" s="19"/>
      <c r="B22" s="19"/>
      <c r="C22" s="19"/>
      <c r="D22" s="19"/>
      <c r="E22" s="20">
        <v>15</v>
      </c>
      <c r="F22" s="21"/>
      <c r="G22" s="24"/>
      <c r="H22" s="23"/>
      <c r="I22" s="24"/>
      <c r="J22" s="33"/>
      <c r="K22" s="34"/>
      <c r="L22" s="24"/>
      <c r="M22" s="36"/>
      <c r="N22" s="39"/>
      <c r="O22" s="38"/>
      <c r="P22" s="38">
        <f t="shared" si="0"/>
        <v>0</v>
      </c>
      <c r="Q22" s="38"/>
      <c r="R22" s="38"/>
      <c r="S22" s="38">
        <f t="shared" si="1"/>
        <v>0</v>
      </c>
      <c r="T22" s="38">
        <f t="shared" si="2"/>
        <v>0</v>
      </c>
      <c r="U22" s="45"/>
      <c r="V22" s="48"/>
      <c r="W22" s="48"/>
      <c r="X22" s="48"/>
      <c r="Y22" s="48"/>
      <c r="Z22" s="56"/>
    </row>
    <row r="23" spans="1:26" s="3" customFormat="1" ht="99.95" customHeight="1">
      <c r="A23" s="19"/>
      <c r="B23" s="19"/>
      <c r="C23" s="19"/>
      <c r="D23" s="19"/>
      <c r="E23" s="20">
        <v>16</v>
      </c>
      <c r="F23" s="21"/>
      <c r="G23" s="24"/>
      <c r="H23" s="23"/>
      <c r="I23" s="24"/>
      <c r="J23" s="33"/>
      <c r="K23" s="34"/>
      <c r="L23" s="24"/>
      <c r="M23" s="36"/>
      <c r="N23" s="39"/>
      <c r="O23" s="38"/>
      <c r="P23" s="38">
        <f t="shared" si="0"/>
        <v>0</v>
      </c>
      <c r="Q23" s="38"/>
      <c r="R23" s="38"/>
      <c r="S23" s="38">
        <f t="shared" si="1"/>
        <v>0</v>
      </c>
      <c r="T23" s="38">
        <f t="shared" si="2"/>
        <v>0</v>
      </c>
      <c r="U23" s="45"/>
      <c r="V23" s="48"/>
      <c r="W23" s="48"/>
      <c r="X23" s="48"/>
      <c r="Y23" s="48"/>
      <c r="Z23" s="56"/>
    </row>
    <row r="24" spans="1:26" s="3" customFormat="1" ht="99.95" customHeight="1">
      <c r="A24" s="19"/>
      <c r="B24" s="19"/>
      <c r="C24" s="19"/>
      <c r="D24" s="19"/>
      <c r="E24" s="20">
        <v>17</v>
      </c>
      <c r="F24" s="21"/>
      <c r="G24" s="24"/>
      <c r="H24" s="23"/>
      <c r="I24" s="24"/>
      <c r="J24" s="33"/>
      <c r="K24" s="34"/>
      <c r="L24" s="24"/>
      <c r="M24" s="36"/>
      <c r="N24" s="39"/>
      <c r="O24" s="38"/>
      <c r="P24" s="38">
        <f t="shared" si="0"/>
        <v>0</v>
      </c>
      <c r="Q24" s="38"/>
      <c r="R24" s="38"/>
      <c r="S24" s="38">
        <f t="shared" si="1"/>
        <v>0</v>
      </c>
      <c r="T24" s="38">
        <f t="shared" si="2"/>
        <v>0</v>
      </c>
      <c r="U24" s="45"/>
      <c r="V24" s="48"/>
      <c r="W24" s="48"/>
      <c r="X24" s="48"/>
      <c r="Y24" s="48"/>
      <c r="Z24" s="56"/>
    </row>
    <row r="25" spans="1:26" s="3" customFormat="1" ht="99.95" customHeight="1">
      <c r="A25" s="19"/>
      <c r="B25" s="19"/>
      <c r="C25" s="19"/>
      <c r="D25" s="19"/>
      <c r="E25" s="20">
        <v>18</v>
      </c>
      <c r="F25" s="21"/>
      <c r="G25" s="24"/>
      <c r="H25" s="23"/>
      <c r="I25" s="24"/>
      <c r="J25" s="33"/>
      <c r="K25" s="34"/>
      <c r="L25" s="24"/>
      <c r="M25" s="36"/>
      <c r="N25" s="39"/>
      <c r="O25" s="38"/>
      <c r="P25" s="38">
        <f t="shared" si="0"/>
        <v>0</v>
      </c>
      <c r="Q25" s="38"/>
      <c r="R25" s="38"/>
      <c r="S25" s="38">
        <f t="shared" si="1"/>
        <v>0</v>
      </c>
      <c r="T25" s="38">
        <f t="shared" si="2"/>
        <v>0</v>
      </c>
      <c r="U25" s="45"/>
      <c r="V25" s="48"/>
      <c r="W25" s="48"/>
      <c r="X25" s="48"/>
      <c r="Y25" s="48"/>
      <c r="Z25" s="56"/>
    </row>
    <row r="26" spans="1:26" s="3" customFormat="1" ht="99.95" customHeight="1">
      <c r="A26" s="19"/>
      <c r="B26" s="19"/>
      <c r="C26" s="19"/>
      <c r="D26" s="19"/>
      <c r="E26" s="20">
        <v>19</v>
      </c>
      <c r="F26" s="21"/>
      <c r="G26" s="24"/>
      <c r="H26" s="23"/>
      <c r="I26" s="24"/>
      <c r="J26" s="33"/>
      <c r="K26" s="34"/>
      <c r="L26" s="24"/>
      <c r="M26" s="36"/>
      <c r="N26" s="39"/>
      <c r="O26" s="38"/>
      <c r="P26" s="38">
        <f t="shared" si="0"/>
        <v>0</v>
      </c>
      <c r="Q26" s="38"/>
      <c r="R26" s="38"/>
      <c r="S26" s="38">
        <f t="shared" si="1"/>
        <v>0</v>
      </c>
      <c r="T26" s="38">
        <f t="shared" si="2"/>
        <v>0</v>
      </c>
      <c r="U26" s="45"/>
      <c r="V26" s="48"/>
      <c r="W26" s="48"/>
      <c r="X26" s="48"/>
      <c r="Y26" s="48"/>
      <c r="Z26" s="56"/>
    </row>
    <row r="27" spans="1:26" s="3" customFormat="1" ht="99.95" customHeight="1">
      <c r="A27" s="19"/>
      <c r="B27" s="19"/>
      <c r="C27" s="19"/>
      <c r="D27" s="19"/>
      <c r="E27" s="20">
        <v>20</v>
      </c>
      <c r="F27" s="21"/>
      <c r="G27" s="24"/>
      <c r="H27" s="23"/>
      <c r="I27" s="24"/>
      <c r="J27" s="33"/>
      <c r="K27" s="34"/>
      <c r="L27" s="24"/>
      <c r="M27" s="36"/>
      <c r="N27" s="39"/>
      <c r="O27" s="38"/>
      <c r="P27" s="38">
        <f t="shared" si="0"/>
        <v>0</v>
      </c>
      <c r="Q27" s="38"/>
      <c r="R27" s="38"/>
      <c r="S27" s="38">
        <f t="shared" si="1"/>
        <v>0</v>
      </c>
      <c r="T27" s="38">
        <f t="shared" si="2"/>
        <v>0</v>
      </c>
      <c r="U27" s="45"/>
      <c r="V27" s="48"/>
      <c r="W27" s="48"/>
      <c r="X27" s="48"/>
      <c r="Y27" s="48"/>
      <c r="Z27" s="56"/>
    </row>
    <row r="28" spans="1:26" s="3" customFormat="1" ht="99.95" customHeight="1">
      <c r="A28" s="19"/>
      <c r="B28" s="19"/>
      <c r="C28" s="19"/>
      <c r="D28" s="19"/>
      <c r="E28" s="20">
        <v>21</v>
      </c>
      <c r="F28" s="21"/>
      <c r="G28" s="24"/>
      <c r="H28" s="23"/>
      <c r="I28" s="24"/>
      <c r="J28" s="33"/>
      <c r="K28" s="34"/>
      <c r="L28" s="24"/>
      <c r="M28" s="36"/>
      <c r="N28" s="39"/>
      <c r="O28" s="38"/>
      <c r="P28" s="38">
        <f t="shared" si="0"/>
        <v>0</v>
      </c>
      <c r="Q28" s="38"/>
      <c r="R28" s="38"/>
      <c r="S28" s="38">
        <f t="shared" si="1"/>
        <v>0</v>
      </c>
      <c r="T28" s="38">
        <f t="shared" si="2"/>
        <v>0</v>
      </c>
      <c r="U28" s="45"/>
      <c r="V28" s="48"/>
      <c r="W28" s="48"/>
      <c r="X28" s="48"/>
      <c r="Y28" s="48"/>
      <c r="Z28" s="56"/>
    </row>
    <row r="29" spans="1:26" s="3" customFormat="1" ht="99.95" customHeight="1">
      <c r="A29" s="19"/>
      <c r="B29" s="19"/>
      <c r="C29" s="19"/>
      <c r="D29" s="19"/>
      <c r="E29" s="20">
        <v>22</v>
      </c>
      <c r="F29" s="21"/>
      <c r="G29" s="24"/>
      <c r="H29" s="23"/>
      <c r="I29" s="24"/>
      <c r="J29" s="33"/>
      <c r="K29" s="34"/>
      <c r="L29" s="24"/>
      <c r="M29" s="36"/>
      <c r="N29" s="39"/>
      <c r="O29" s="38"/>
      <c r="P29" s="38">
        <f t="shared" si="0"/>
        <v>0</v>
      </c>
      <c r="Q29" s="38"/>
      <c r="R29" s="38"/>
      <c r="S29" s="38">
        <f t="shared" si="1"/>
        <v>0</v>
      </c>
      <c r="T29" s="38">
        <f t="shared" si="2"/>
        <v>0</v>
      </c>
      <c r="U29" s="45"/>
      <c r="V29" s="48"/>
      <c r="W29" s="48"/>
      <c r="X29" s="48"/>
      <c r="Y29" s="48"/>
      <c r="Z29" s="56"/>
    </row>
    <row r="30" spans="1:26" s="3" customFormat="1" ht="99.95" customHeight="1">
      <c r="A30" s="19"/>
      <c r="B30" s="19"/>
      <c r="C30" s="19"/>
      <c r="D30" s="19"/>
      <c r="E30" s="20">
        <v>23</v>
      </c>
      <c r="F30" s="21"/>
      <c r="G30" s="24"/>
      <c r="H30" s="23"/>
      <c r="I30" s="24"/>
      <c r="J30" s="33"/>
      <c r="K30" s="34"/>
      <c r="L30" s="24"/>
      <c r="M30" s="36"/>
      <c r="N30" s="39"/>
      <c r="O30" s="38"/>
      <c r="P30" s="38">
        <f t="shared" si="0"/>
        <v>0</v>
      </c>
      <c r="Q30" s="38"/>
      <c r="R30" s="38"/>
      <c r="S30" s="38">
        <f t="shared" si="1"/>
        <v>0</v>
      </c>
      <c r="T30" s="38">
        <f t="shared" si="2"/>
        <v>0</v>
      </c>
      <c r="U30" s="45"/>
      <c r="V30" s="48"/>
      <c r="W30" s="48"/>
      <c r="X30" s="48"/>
      <c r="Y30" s="48"/>
      <c r="Z30" s="56"/>
    </row>
    <row r="31" spans="1:26" s="3" customFormat="1" ht="99.95" customHeight="1">
      <c r="A31" s="19"/>
      <c r="B31" s="19"/>
      <c r="C31" s="19"/>
      <c r="D31" s="19"/>
      <c r="E31" s="20">
        <v>24</v>
      </c>
      <c r="F31" s="21"/>
      <c r="G31" s="24"/>
      <c r="H31" s="23"/>
      <c r="I31" s="24"/>
      <c r="J31" s="33"/>
      <c r="K31" s="34"/>
      <c r="L31" s="24"/>
      <c r="M31" s="36"/>
      <c r="N31" s="39"/>
      <c r="O31" s="38"/>
      <c r="P31" s="38">
        <f t="shared" si="0"/>
        <v>0</v>
      </c>
      <c r="Q31" s="38"/>
      <c r="R31" s="38"/>
      <c r="S31" s="38">
        <f t="shared" si="1"/>
        <v>0</v>
      </c>
      <c r="T31" s="38">
        <f t="shared" si="2"/>
        <v>0</v>
      </c>
      <c r="U31" s="45"/>
      <c r="V31" s="48"/>
      <c r="W31" s="48"/>
      <c r="X31" s="48"/>
      <c r="Y31" s="48"/>
      <c r="Z31" s="56"/>
    </row>
    <row r="32" spans="1:26" s="3" customFormat="1" ht="99.95" customHeight="1">
      <c r="A32" s="19"/>
      <c r="B32" s="19"/>
      <c r="C32" s="19"/>
      <c r="D32" s="19"/>
      <c r="E32" s="20">
        <v>25</v>
      </c>
      <c r="F32" s="21"/>
      <c r="G32" s="24"/>
      <c r="H32" s="23"/>
      <c r="I32" s="24"/>
      <c r="J32" s="33"/>
      <c r="K32" s="34"/>
      <c r="L32" s="24"/>
      <c r="M32" s="36"/>
      <c r="N32" s="39"/>
      <c r="O32" s="38"/>
      <c r="P32" s="38">
        <f t="shared" si="0"/>
        <v>0</v>
      </c>
      <c r="Q32" s="38"/>
      <c r="R32" s="38"/>
      <c r="S32" s="38">
        <f t="shared" si="1"/>
        <v>0</v>
      </c>
      <c r="T32" s="38">
        <f t="shared" si="2"/>
        <v>0</v>
      </c>
      <c r="U32" s="45"/>
      <c r="V32" s="48"/>
      <c r="W32" s="48"/>
      <c r="X32" s="48"/>
      <c r="Y32" s="48"/>
      <c r="Z32" s="56"/>
    </row>
    <row r="33" spans="1:26" s="3" customFormat="1" ht="99.95" customHeight="1">
      <c r="A33" s="19"/>
      <c r="B33" s="19"/>
      <c r="C33" s="19"/>
      <c r="D33" s="19"/>
      <c r="E33" s="20">
        <v>26</v>
      </c>
      <c r="F33" s="21"/>
      <c r="G33" s="24"/>
      <c r="H33" s="23"/>
      <c r="I33" s="24"/>
      <c r="J33" s="33"/>
      <c r="K33" s="34"/>
      <c r="L33" s="24"/>
      <c r="M33" s="36"/>
      <c r="N33" s="39"/>
      <c r="O33" s="38"/>
      <c r="P33" s="38">
        <f t="shared" si="0"/>
        <v>0</v>
      </c>
      <c r="Q33" s="38"/>
      <c r="R33" s="38"/>
      <c r="S33" s="38">
        <f t="shared" si="1"/>
        <v>0</v>
      </c>
      <c r="T33" s="38">
        <f t="shared" si="2"/>
        <v>0</v>
      </c>
      <c r="U33" s="45"/>
      <c r="V33" s="48"/>
      <c r="W33" s="48"/>
      <c r="X33" s="48"/>
      <c r="Y33" s="48"/>
      <c r="Z33" s="56"/>
    </row>
    <row r="34" spans="1:26" s="3" customFormat="1" ht="99.95" customHeight="1">
      <c r="A34" s="19"/>
      <c r="B34" s="19"/>
      <c r="C34" s="19"/>
      <c r="D34" s="19"/>
      <c r="E34" s="20">
        <v>27</v>
      </c>
      <c r="F34" s="21"/>
      <c r="G34" s="24"/>
      <c r="H34" s="23"/>
      <c r="I34" s="24"/>
      <c r="J34" s="33"/>
      <c r="K34" s="34"/>
      <c r="L34" s="24"/>
      <c r="M34" s="36"/>
      <c r="N34" s="39"/>
      <c r="O34" s="38"/>
      <c r="P34" s="38">
        <f t="shared" si="0"/>
        <v>0</v>
      </c>
      <c r="Q34" s="38"/>
      <c r="R34" s="38"/>
      <c r="S34" s="38">
        <f t="shared" si="1"/>
        <v>0</v>
      </c>
      <c r="T34" s="38">
        <f t="shared" si="2"/>
        <v>0</v>
      </c>
      <c r="U34" s="45"/>
      <c r="V34" s="48"/>
      <c r="W34" s="48"/>
      <c r="X34" s="48"/>
      <c r="Y34" s="48"/>
      <c r="Z34" s="56"/>
    </row>
    <row r="35" spans="1:26" s="3" customFormat="1" ht="99.95" customHeight="1">
      <c r="A35" s="19"/>
      <c r="B35" s="19"/>
      <c r="C35" s="19"/>
      <c r="D35" s="19"/>
      <c r="E35" s="20">
        <v>28</v>
      </c>
      <c r="F35" s="21"/>
      <c r="G35" s="24"/>
      <c r="H35" s="23"/>
      <c r="I35" s="24"/>
      <c r="J35" s="33"/>
      <c r="K35" s="34"/>
      <c r="L35" s="24"/>
      <c r="M35" s="36"/>
      <c r="N35" s="39"/>
      <c r="O35" s="38"/>
      <c r="P35" s="38">
        <f t="shared" si="0"/>
        <v>0</v>
      </c>
      <c r="Q35" s="38"/>
      <c r="R35" s="38"/>
      <c r="S35" s="38">
        <f t="shared" si="1"/>
        <v>0</v>
      </c>
      <c r="T35" s="38">
        <f t="shared" si="2"/>
        <v>0</v>
      </c>
      <c r="U35" s="45"/>
      <c r="V35" s="48"/>
      <c r="W35" s="48"/>
      <c r="X35" s="48"/>
      <c r="Y35" s="48"/>
      <c r="Z35" s="56"/>
    </row>
    <row r="36" spans="1:26" s="3" customFormat="1" ht="99.95" customHeight="1">
      <c r="A36" s="19"/>
      <c r="B36" s="19"/>
      <c r="C36" s="19"/>
      <c r="D36" s="19"/>
      <c r="E36" s="20">
        <v>29</v>
      </c>
      <c r="F36" s="21"/>
      <c r="G36" s="24"/>
      <c r="H36" s="23"/>
      <c r="I36" s="24"/>
      <c r="J36" s="33"/>
      <c r="K36" s="34"/>
      <c r="L36" s="24"/>
      <c r="M36" s="36"/>
      <c r="N36" s="39"/>
      <c r="O36" s="38"/>
      <c r="P36" s="38">
        <f t="shared" si="0"/>
        <v>0</v>
      </c>
      <c r="Q36" s="38"/>
      <c r="R36" s="38"/>
      <c r="S36" s="38">
        <f t="shared" si="1"/>
        <v>0</v>
      </c>
      <c r="T36" s="38">
        <f t="shared" si="2"/>
        <v>0</v>
      </c>
      <c r="U36" s="45"/>
      <c r="V36" s="48"/>
      <c r="W36" s="48"/>
      <c r="X36" s="48"/>
      <c r="Y36" s="48"/>
      <c r="Z36" s="56"/>
    </row>
    <row r="37" spans="1:26" s="3" customFormat="1" ht="99.95" customHeight="1">
      <c r="A37" s="19"/>
      <c r="B37" s="19"/>
      <c r="C37" s="19"/>
      <c r="D37" s="19"/>
      <c r="E37" s="20">
        <v>30</v>
      </c>
      <c r="F37" s="21"/>
      <c r="G37" s="24"/>
      <c r="H37" s="23"/>
      <c r="I37" s="24"/>
      <c r="J37" s="33"/>
      <c r="K37" s="34"/>
      <c r="L37" s="24"/>
      <c r="M37" s="36"/>
      <c r="N37" s="39"/>
      <c r="O37" s="38"/>
      <c r="P37" s="38">
        <f t="shared" si="0"/>
        <v>0</v>
      </c>
      <c r="Q37" s="38"/>
      <c r="R37" s="38"/>
      <c r="S37" s="38">
        <f t="shared" si="1"/>
        <v>0</v>
      </c>
      <c r="T37" s="38">
        <f t="shared" si="2"/>
        <v>0</v>
      </c>
      <c r="U37" s="45"/>
      <c r="V37" s="48"/>
      <c r="W37" s="48"/>
      <c r="X37" s="48"/>
      <c r="Y37" s="48"/>
      <c r="Z37" s="56"/>
    </row>
    <row r="38" spans="1:26" s="3" customFormat="1" ht="99.95" customHeight="1">
      <c r="A38" s="19"/>
      <c r="B38" s="19"/>
      <c r="C38" s="19"/>
      <c r="D38" s="19"/>
      <c r="E38" s="20">
        <v>31</v>
      </c>
      <c r="F38" s="21"/>
      <c r="G38" s="24"/>
      <c r="H38" s="23"/>
      <c r="I38" s="24"/>
      <c r="J38" s="33"/>
      <c r="K38" s="34"/>
      <c r="L38" s="24"/>
      <c r="M38" s="36"/>
      <c r="N38" s="39"/>
      <c r="O38" s="38"/>
      <c r="P38" s="38">
        <f t="shared" si="0"/>
        <v>0</v>
      </c>
      <c r="Q38" s="38"/>
      <c r="R38" s="38"/>
      <c r="S38" s="38">
        <f t="shared" si="1"/>
        <v>0</v>
      </c>
      <c r="T38" s="38">
        <f t="shared" si="2"/>
        <v>0</v>
      </c>
      <c r="U38" s="45"/>
      <c r="V38" s="48"/>
      <c r="W38" s="48"/>
      <c r="X38" s="48"/>
      <c r="Y38" s="48"/>
      <c r="Z38" s="56"/>
    </row>
    <row r="39" spans="1:26" s="3" customFormat="1" ht="99.95" customHeight="1">
      <c r="A39" s="19"/>
      <c r="B39" s="19"/>
      <c r="C39" s="19"/>
      <c r="D39" s="19"/>
      <c r="E39" s="20">
        <v>32</v>
      </c>
      <c r="F39" s="21"/>
      <c r="G39" s="24"/>
      <c r="H39" s="23"/>
      <c r="I39" s="24"/>
      <c r="J39" s="33"/>
      <c r="K39" s="34"/>
      <c r="L39" s="24"/>
      <c r="M39" s="36"/>
      <c r="N39" s="39"/>
      <c r="O39" s="38"/>
      <c r="P39" s="38">
        <f t="shared" si="0"/>
        <v>0</v>
      </c>
      <c r="Q39" s="38"/>
      <c r="R39" s="38"/>
      <c r="S39" s="38">
        <f t="shared" si="1"/>
        <v>0</v>
      </c>
      <c r="T39" s="38">
        <f t="shared" si="2"/>
        <v>0</v>
      </c>
      <c r="U39" s="45"/>
      <c r="V39" s="48"/>
      <c r="W39" s="48"/>
      <c r="X39" s="48"/>
      <c r="Y39" s="48"/>
      <c r="Z39" s="56"/>
    </row>
    <row r="40" spans="1:26" s="3" customFormat="1" ht="99.95" customHeight="1">
      <c r="A40" s="19"/>
      <c r="B40" s="19"/>
      <c r="C40" s="19"/>
      <c r="D40" s="19"/>
      <c r="E40" s="20">
        <v>33</v>
      </c>
      <c r="F40" s="21"/>
      <c r="G40" s="24"/>
      <c r="H40" s="23"/>
      <c r="I40" s="24"/>
      <c r="J40" s="33"/>
      <c r="K40" s="34"/>
      <c r="L40" s="24"/>
      <c r="M40" s="36"/>
      <c r="N40" s="39"/>
      <c r="O40" s="38"/>
      <c r="P40" s="38">
        <f t="shared" si="0"/>
        <v>0</v>
      </c>
      <c r="Q40" s="38"/>
      <c r="R40" s="38"/>
      <c r="S40" s="38">
        <f t="shared" si="1"/>
        <v>0</v>
      </c>
      <c r="T40" s="38">
        <f t="shared" si="2"/>
        <v>0</v>
      </c>
      <c r="U40" s="45"/>
      <c r="V40" s="48"/>
      <c r="W40" s="48"/>
      <c r="X40" s="48"/>
      <c r="Y40" s="48"/>
      <c r="Z40" s="56"/>
    </row>
    <row r="41" spans="1:26" s="3" customFormat="1" ht="99.95" customHeight="1">
      <c r="A41" s="19"/>
      <c r="B41" s="19"/>
      <c r="C41" s="19"/>
      <c r="D41" s="19"/>
      <c r="E41" s="20">
        <v>34</v>
      </c>
      <c r="F41" s="21"/>
      <c r="G41" s="24"/>
      <c r="H41" s="23"/>
      <c r="I41" s="24"/>
      <c r="J41" s="33"/>
      <c r="K41" s="34"/>
      <c r="L41" s="24"/>
      <c r="M41" s="36"/>
      <c r="N41" s="39"/>
      <c r="O41" s="38"/>
      <c r="P41" s="38">
        <f t="shared" ref="P41:P57" si="3">O41*J41</f>
        <v>0</v>
      </c>
      <c r="Q41" s="38"/>
      <c r="R41" s="38"/>
      <c r="S41" s="38">
        <f t="shared" ref="S41:S57" si="4">R41*J41</f>
        <v>0</v>
      </c>
      <c r="T41" s="38">
        <f t="shared" si="2"/>
        <v>0</v>
      </c>
      <c r="U41" s="45"/>
      <c r="V41" s="48"/>
      <c r="W41" s="48"/>
      <c r="X41" s="48"/>
      <c r="Y41" s="48"/>
      <c r="Z41" s="56"/>
    </row>
    <row r="42" spans="1:26" s="3" customFormat="1" ht="99.95" customHeight="1">
      <c r="A42" s="19"/>
      <c r="B42" s="19"/>
      <c r="C42" s="19"/>
      <c r="D42" s="19"/>
      <c r="E42" s="20">
        <v>35</v>
      </c>
      <c r="F42" s="21"/>
      <c r="G42" s="24"/>
      <c r="H42" s="23"/>
      <c r="I42" s="24"/>
      <c r="J42" s="33"/>
      <c r="K42" s="34"/>
      <c r="L42" s="24"/>
      <c r="M42" s="36"/>
      <c r="N42" s="39"/>
      <c r="O42" s="38"/>
      <c r="P42" s="38">
        <f t="shared" si="3"/>
        <v>0</v>
      </c>
      <c r="Q42" s="38"/>
      <c r="R42" s="38"/>
      <c r="S42" s="38">
        <f t="shared" si="4"/>
        <v>0</v>
      </c>
      <c r="T42" s="38">
        <f t="shared" si="2"/>
        <v>0</v>
      </c>
      <c r="U42" s="45"/>
      <c r="V42" s="48"/>
      <c r="W42" s="48"/>
      <c r="X42" s="48"/>
      <c r="Y42" s="48"/>
      <c r="Z42" s="56"/>
    </row>
    <row r="43" spans="1:26" s="3" customFormat="1" ht="99.95" customHeight="1">
      <c r="A43" s="19"/>
      <c r="B43" s="19"/>
      <c r="C43" s="19"/>
      <c r="D43" s="19"/>
      <c r="E43" s="20">
        <v>36</v>
      </c>
      <c r="F43" s="21"/>
      <c r="G43" s="24"/>
      <c r="H43" s="23"/>
      <c r="I43" s="24"/>
      <c r="J43" s="33"/>
      <c r="K43" s="34"/>
      <c r="L43" s="24"/>
      <c r="M43" s="36"/>
      <c r="N43" s="39"/>
      <c r="O43" s="38"/>
      <c r="P43" s="38">
        <f t="shared" si="3"/>
        <v>0</v>
      </c>
      <c r="Q43" s="38"/>
      <c r="R43" s="38"/>
      <c r="S43" s="38">
        <f t="shared" si="4"/>
        <v>0</v>
      </c>
      <c r="T43" s="38">
        <f t="shared" si="2"/>
        <v>0</v>
      </c>
      <c r="U43" s="45"/>
      <c r="V43" s="48"/>
      <c r="W43" s="48"/>
      <c r="X43" s="48"/>
      <c r="Y43" s="48"/>
      <c r="Z43" s="56"/>
    </row>
    <row r="44" spans="1:26" s="3" customFormat="1" ht="99.95" customHeight="1">
      <c r="A44" s="19"/>
      <c r="B44" s="19"/>
      <c r="C44" s="19"/>
      <c r="D44" s="19"/>
      <c r="E44" s="20">
        <v>37</v>
      </c>
      <c r="F44" s="21"/>
      <c r="G44" s="24"/>
      <c r="H44" s="23"/>
      <c r="I44" s="24"/>
      <c r="J44" s="33"/>
      <c r="K44" s="34"/>
      <c r="L44" s="24"/>
      <c r="M44" s="36"/>
      <c r="N44" s="39"/>
      <c r="O44" s="38"/>
      <c r="P44" s="38">
        <f t="shared" si="3"/>
        <v>0</v>
      </c>
      <c r="Q44" s="38"/>
      <c r="R44" s="38"/>
      <c r="S44" s="38">
        <f t="shared" si="4"/>
        <v>0</v>
      </c>
      <c r="T44" s="38">
        <f t="shared" si="2"/>
        <v>0</v>
      </c>
      <c r="U44" s="45"/>
      <c r="V44" s="48"/>
      <c r="W44" s="48"/>
      <c r="X44" s="48"/>
      <c r="Y44" s="48"/>
      <c r="Z44" s="56"/>
    </row>
    <row r="45" spans="1:26" s="3" customFormat="1" ht="99.95" customHeight="1">
      <c r="A45" s="19"/>
      <c r="B45" s="19"/>
      <c r="C45" s="19"/>
      <c r="D45" s="19"/>
      <c r="E45" s="20">
        <v>38</v>
      </c>
      <c r="F45" s="21"/>
      <c r="G45" s="24"/>
      <c r="H45" s="23"/>
      <c r="I45" s="24"/>
      <c r="J45" s="33"/>
      <c r="K45" s="34"/>
      <c r="L45" s="24"/>
      <c r="M45" s="36"/>
      <c r="N45" s="39"/>
      <c r="O45" s="38"/>
      <c r="P45" s="38">
        <f t="shared" si="3"/>
        <v>0</v>
      </c>
      <c r="Q45" s="38"/>
      <c r="R45" s="38"/>
      <c r="S45" s="38">
        <f t="shared" si="4"/>
        <v>0</v>
      </c>
      <c r="T45" s="38">
        <f t="shared" si="2"/>
        <v>0</v>
      </c>
      <c r="U45" s="45"/>
      <c r="V45" s="48"/>
      <c r="W45" s="48"/>
      <c r="X45" s="48"/>
      <c r="Y45" s="48"/>
      <c r="Z45" s="56"/>
    </row>
    <row r="46" spans="1:26" s="3" customFormat="1" ht="99.95" customHeight="1">
      <c r="A46" s="19"/>
      <c r="B46" s="19"/>
      <c r="C46" s="19"/>
      <c r="D46" s="19"/>
      <c r="E46" s="20">
        <v>39</v>
      </c>
      <c r="F46" s="21"/>
      <c r="G46" s="24"/>
      <c r="H46" s="23"/>
      <c r="I46" s="24"/>
      <c r="J46" s="33"/>
      <c r="K46" s="34"/>
      <c r="L46" s="24"/>
      <c r="M46" s="36"/>
      <c r="N46" s="39"/>
      <c r="O46" s="38"/>
      <c r="P46" s="38">
        <f t="shared" si="3"/>
        <v>0</v>
      </c>
      <c r="Q46" s="38"/>
      <c r="R46" s="38"/>
      <c r="S46" s="38">
        <f t="shared" si="4"/>
        <v>0</v>
      </c>
      <c r="T46" s="38">
        <f t="shared" si="2"/>
        <v>0</v>
      </c>
      <c r="U46" s="45"/>
      <c r="V46" s="48"/>
      <c r="W46" s="48"/>
      <c r="X46" s="48"/>
      <c r="Y46" s="48"/>
      <c r="Z46" s="56"/>
    </row>
    <row r="47" spans="1:26" s="3" customFormat="1" ht="99.95" customHeight="1">
      <c r="A47" s="19"/>
      <c r="B47" s="19"/>
      <c r="C47" s="19"/>
      <c r="D47" s="19"/>
      <c r="E47" s="20">
        <v>40</v>
      </c>
      <c r="F47" s="21"/>
      <c r="G47" s="24"/>
      <c r="H47" s="23"/>
      <c r="I47" s="24"/>
      <c r="J47" s="33"/>
      <c r="K47" s="34"/>
      <c r="L47" s="24"/>
      <c r="M47" s="36"/>
      <c r="N47" s="39"/>
      <c r="O47" s="38"/>
      <c r="P47" s="38">
        <f t="shared" si="3"/>
        <v>0</v>
      </c>
      <c r="Q47" s="38"/>
      <c r="R47" s="38"/>
      <c r="S47" s="38">
        <f t="shared" si="4"/>
        <v>0</v>
      </c>
      <c r="T47" s="38">
        <f t="shared" si="2"/>
        <v>0</v>
      </c>
      <c r="U47" s="45"/>
      <c r="V47" s="48"/>
      <c r="W47" s="48"/>
      <c r="X47" s="48"/>
      <c r="Y47" s="48"/>
      <c r="Z47" s="56"/>
    </row>
    <row r="48" spans="1:26" s="3" customFormat="1" ht="99.95" customHeight="1">
      <c r="A48" s="19"/>
      <c r="B48" s="19"/>
      <c r="C48" s="19"/>
      <c r="D48" s="19"/>
      <c r="E48" s="20">
        <v>41</v>
      </c>
      <c r="F48" s="21"/>
      <c r="G48" s="24"/>
      <c r="H48" s="23"/>
      <c r="I48" s="24"/>
      <c r="J48" s="33"/>
      <c r="K48" s="34"/>
      <c r="L48" s="24"/>
      <c r="M48" s="36"/>
      <c r="N48" s="39"/>
      <c r="O48" s="38"/>
      <c r="P48" s="38">
        <f t="shared" si="3"/>
        <v>0</v>
      </c>
      <c r="Q48" s="38"/>
      <c r="R48" s="38"/>
      <c r="S48" s="38">
        <f t="shared" si="4"/>
        <v>0</v>
      </c>
      <c r="T48" s="38">
        <f t="shared" si="2"/>
        <v>0</v>
      </c>
      <c r="U48" s="45"/>
      <c r="V48" s="48"/>
      <c r="W48" s="48"/>
      <c r="X48" s="48"/>
      <c r="Y48" s="48"/>
      <c r="Z48" s="56"/>
    </row>
    <row r="49" spans="1:26" s="3" customFormat="1" ht="99.95" customHeight="1">
      <c r="A49" s="19"/>
      <c r="B49" s="19"/>
      <c r="C49" s="19"/>
      <c r="D49" s="19"/>
      <c r="E49" s="20">
        <v>42</v>
      </c>
      <c r="F49" s="21"/>
      <c r="G49" s="24"/>
      <c r="H49" s="23"/>
      <c r="I49" s="24"/>
      <c r="J49" s="33"/>
      <c r="K49" s="34"/>
      <c r="L49" s="24"/>
      <c r="M49" s="36"/>
      <c r="N49" s="39"/>
      <c r="O49" s="38"/>
      <c r="P49" s="38">
        <f t="shared" si="3"/>
        <v>0</v>
      </c>
      <c r="Q49" s="38"/>
      <c r="R49" s="38"/>
      <c r="S49" s="38">
        <f t="shared" si="4"/>
        <v>0</v>
      </c>
      <c r="T49" s="38">
        <f t="shared" si="2"/>
        <v>0</v>
      </c>
      <c r="U49" s="45"/>
      <c r="V49" s="48"/>
      <c r="W49" s="48"/>
      <c r="X49" s="48"/>
      <c r="Y49" s="48"/>
      <c r="Z49" s="56"/>
    </row>
    <row r="50" spans="1:26" s="3" customFormat="1" ht="99.95" customHeight="1">
      <c r="A50" s="19"/>
      <c r="B50" s="19"/>
      <c r="C50" s="19"/>
      <c r="D50" s="19"/>
      <c r="E50" s="20">
        <v>43</v>
      </c>
      <c r="F50" s="21"/>
      <c r="G50" s="24"/>
      <c r="H50" s="23"/>
      <c r="I50" s="24"/>
      <c r="J50" s="33"/>
      <c r="K50" s="34"/>
      <c r="L50" s="24"/>
      <c r="M50" s="36"/>
      <c r="N50" s="39"/>
      <c r="O50" s="38"/>
      <c r="P50" s="38">
        <f t="shared" si="3"/>
        <v>0</v>
      </c>
      <c r="Q50" s="38"/>
      <c r="R50" s="38"/>
      <c r="S50" s="38">
        <f t="shared" si="4"/>
        <v>0</v>
      </c>
      <c r="T50" s="38">
        <f t="shared" si="2"/>
        <v>0</v>
      </c>
      <c r="U50" s="45"/>
      <c r="V50" s="48"/>
      <c r="W50" s="48"/>
      <c r="X50" s="48"/>
      <c r="Y50" s="48"/>
      <c r="Z50" s="56"/>
    </row>
    <row r="51" spans="1:26" s="3" customFormat="1" ht="99.95" customHeight="1">
      <c r="A51" s="19"/>
      <c r="B51" s="19"/>
      <c r="C51" s="19"/>
      <c r="D51" s="19"/>
      <c r="E51" s="20">
        <v>44</v>
      </c>
      <c r="F51" s="21"/>
      <c r="G51" s="24"/>
      <c r="H51" s="23"/>
      <c r="I51" s="24"/>
      <c r="J51" s="33"/>
      <c r="K51" s="34"/>
      <c r="L51" s="24"/>
      <c r="M51" s="36"/>
      <c r="N51" s="39"/>
      <c r="O51" s="38"/>
      <c r="P51" s="38">
        <f t="shared" si="3"/>
        <v>0</v>
      </c>
      <c r="Q51" s="38"/>
      <c r="R51" s="38"/>
      <c r="S51" s="38">
        <f t="shared" si="4"/>
        <v>0</v>
      </c>
      <c r="T51" s="38">
        <f t="shared" si="2"/>
        <v>0</v>
      </c>
      <c r="U51" s="45"/>
      <c r="V51" s="48"/>
      <c r="W51" s="48"/>
      <c r="X51" s="48"/>
      <c r="Y51" s="48"/>
      <c r="Z51" s="56"/>
    </row>
    <row r="52" spans="1:26" s="3" customFormat="1" ht="99.95" customHeight="1">
      <c r="A52" s="19"/>
      <c r="B52" s="19"/>
      <c r="C52" s="19"/>
      <c r="D52" s="19"/>
      <c r="E52" s="20">
        <v>45</v>
      </c>
      <c r="F52" s="21"/>
      <c r="G52" s="24"/>
      <c r="H52" s="23"/>
      <c r="I52" s="24"/>
      <c r="J52" s="33"/>
      <c r="K52" s="34"/>
      <c r="L52" s="24"/>
      <c r="M52" s="36"/>
      <c r="N52" s="39"/>
      <c r="O52" s="38"/>
      <c r="P52" s="38">
        <f t="shared" si="3"/>
        <v>0</v>
      </c>
      <c r="Q52" s="38"/>
      <c r="R52" s="38"/>
      <c r="S52" s="38">
        <f t="shared" si="4"/>
        <v>0</v>
      </c>
      <c r="T52" s="38">
        <f t="shared" si="2"/>
        <v>0</v>
      </c>
      <c r="U52" s="45"/>
      <c r="V52" s="48"/>
      <c r="W52" s="48"/>
      <c r="X52" s="48"/>
      <c r="Y52" s="48"/>
      <c r="Z52" s="56"/>
    </row>
    <row r="53" spans="1:26" s="3" customFormat="1" ht="99.95" customHeight="1">
      <c r="A53" s="19"/>
      <c r="B53" s="19"/>
      <c r="C53" s="19"/>
      <c r="D53" s="19"/>
      <c r="E53" s="20">
        <v>46</v>
      </c>
      <c r="F53" s="21"/>
      <c r="G53" s="24"/>
      <c r="H53" s="23"/>
      <c r="I53" s="24"/>
      <c r="J53" s="33"/>
      <c r="K53" s="34"/>
      <c r="L53" s="24"/>
      <c r="M53" s="36"/>
      <c r="N53" s="39"/>
      <c r="O53" s="38"/>
      <c r="P53" s="38">
        <f t="shared" si="3"/>
        <v>0</v>
      </c>
      <c r="Q53" s="38"/>
      <c r="R53" s="38"/>
      <c r="S53" s="38">
        <f t="shared" si="4"/>
        <v>0</v>
      </c>
      <c r="T53" s="38">
        <f t="shared" si="2"/>
        <v>0</v>
      </c>
      <c r="U53" s="45"/>
      <c r="V53" s="48"/>
      <c r="W53" s="48"/>
      <c r="X53" s="48"/>
      <c r="Y53" s="48"/>
      <c r="Z53" s="56"/>
    </row>
    <row r="54" spans="1:26" s="3" customFormat="1" ht="99.95" customHeight="1">
      <c r="A54" s="19"/>
      <c r="B54" s="19"/>
      <c r="C54" s="19"/>
      <c r="D54" s="19"/>
      <c r="E54" s="20">
        <v>47</v>
      </c>
      <c r="F54" s="21"/>
      <c r="G54" s="24"/>
      <c r="H54" s="23"/>
      <c r="I54" s="24"/>
      <c r="J54" s="33"/>
      <c r="K54" s="34"/>
      <c r="L54" s="24"/>
      <c r="M54" s="36"/>
      <c r="N54" s="39"/>
      <c r="O54" s="38"/>
      <c r="P54" s="38">
        <f t="shared" si="3"/>
        <v>0</v>
      </c>
      <c r="Q54" s="38"/>
      <c r="R54" s="38"/>
      <c r="S54" s="38">
        <f t="shared" si="4"/>
        <v>0</v>
      </c>
      <c r="T54" s="38">
        <f t="shared" si="2"/>
        <v>0</v>
      </c>
      <c r="U54" s="45"/>
      <c r="V54" s="48"/>
      <c r="W54" s="48"/>
      <c r="X54" s="48"/>
      <c r="Y54" s="48"/>
      <c r="Z54" s="56"/>
    </row>
    <row r="55" spans="1:26" s="3" customFormat="1" ht="99.95" customHeight="1">
      <c r="A55" s="19"/>
      <c r="B55" s="19"/>
      <c r="C55" s="19"/>
      <c r="D55" s="19"/>
      <c r="E55" s="20">
        <v>48</v>
      </c>
      <c r="F55" s="21"/>
      <c r="G55" s="24"/>
      <c r="H55" s="23"/>
      <c r="I55" s="24"/>
      <c r="J55" s="33"/>
      <c r="K55" s="34"/>
      <c r="L55" s="24"/>
      <c r="M55" s="36"/>
      <c r="N55" s="39"/>
      <c r="O55" s="38"/>
      <c r="P55" s="38">
        <f t="shared" si="3"/>
        <v>0</v>
      </c>
      <c r="Q55" s="38"/>
      <c r="R55" s="38"/>
      <c r="S55" s="38">
        <f t="shared" si="4"/>
        <v>0</v>
      </c>
      <c r="T55" s="38">
        <f t="shared" si="2"/>
        <v>0</v>
      </c>
      <c r="U55" s="45"/>
      <c r="V55" s="48"/>
      <c r="W55" s="48"/>
      <c r="X55" s="48"/>
      <c r="Y55" s="48"/>
      <c r="Z55" s="56"/>
    </row>
    <row r="56" spans="1:26" s="3" customFormat="1" ht="99.95" customHeight="1">
      <c r="A56" s="19"/>
      <c r="B56" s="19"/>
      <c r="C56" s="19"/>
      <c r="D56" s="19"/>
      <c r="E56" s="20">
        <v>49</v>
      </c>
      <c r="F56" s="21"/>
      <c r="G56" s="24"/>
      <c r="H56" s="23"/>
      <c r="I56" s="24"/>
      <c r="J56" s="33"/>
      <c r="K56" s="34"/>
      <c r="L56" s="24"/>
      <c r="M56" s="36"/>
      <c r="N56" s="39"/>
      <c r="O56" s="38"/>
      <c r="P56" s="38">
        <f t="shared" si="3"/>
        <v>0</v>
      </c>
      <c r="Q56" s="38"/>
      <c r="R56" s="38"/>
      <c r="S56" s="38">
        <f t="shared" si="4"/>
        <v>0</v>
      </c>
      <c r="T56" s="38">
        <f t="shared" si="2"/>
        <v>0</v>
      </c>
      <c r="U56" s="45"/>
      <c r="V56" s="48"/>
      <c r="W56" s="48"/>
      <c r="X56" s="48"/>
      <c r="Y56" s="48"/>
      <c r="Z56" s="56"/>
    </row>
    <row r="57" spans="1:26" s="3" customFormat="1" ht="99.95" customHeight="1">
      <c r="A57" s="19"/>
      <c r="B57" s="19"/>
      <c r="C57" s="19"/>
      <c r="D57" s="19"/>
      <c r="E57" s="20">
        <v>50</v>
      </c>
      <c r="F57" s="21"/>
      <c r="G57" s="24"/>
      <c r="H57" s="23"/>
      <c r="I57" s="24"/>
      <c r="J57" s="33"/>
      <c r="K57" s="34"/>
      <c r="L57" s="24"/>
      <c r="M57" s="36"/>
      <c r="N57" s="39"/>
      <c r="O57" s="38"/>
      <c r="P57" s="38">
        <f t="shared" si="3"/>
        <v>0</v>
      </c>
      <c r="Q57" s="38"/>
      <c r="R57" s="38"/>
      <c r="S57" s="38">
        <f t="shared" si="4"/>
        <v>0</v>
      </c>
      <c r="T57" s="38">
        <f t="shared" si="2"/>
        <v>0</v>
      </c>
      <c r="U57" s="45"/>
      <c r="V57" s="48"/>
      <c r="W57" s="48"/>
      <c r="X57" s="48"/>
      <c r="Y57" s="48"/>
      <c r="Z57" s="56"/>
    </row>
    <row r="58" spans="1:26" ht="27" customHeight="1">
      <c r="E58" s="82" t="s">
        <v>40</v>
      </c>
      <c r="F58" s="82"/>
      <c r="G58" s="82"/>
      <c r="H58" s="82"/>
      <c r="I58" s="82"/>
      <c r="J58" s="25">
        <f>SUM(J8:J57)</f>
        <v>40</v>
      </c>
      <c r="K58" s="25"/>
      <c r="L58" s="25"/>
      <c r="M58" s="40"/>
      <c r="N58" s="25"/>
      <c r="O58" s="25"/>
      <c r="P58" s="41">
        <f>SUM(P8:P57)</f>
        <v>0</v>
      </c>
      <c r="Q58" s="41">
        <f>SUM(Q8:Q57)</f>
        <v>0</v>
      </c>
      <c r="R58" s="25"/>
      <c r="S58" s="49">
        <f>SUM(S8:S57)</f>
        <v>0</v>
      </c>
      <c r="T58" s="49">
        <f>SUM(T8:T57)</f>
        <v>0</v>
      </c>
      <c r="U58" s="50"/>
      <c r="V58" s="51"/>
      <c r="W58" s="51"/>
      <c r="X58" s="51"/>
      <c r="Y58" s="51"/>
    </row>
    <row r="59" spans="1:26" ht="40.15" customHeight="1">
      <c r="E59" s="65" t="s">
        <v>54</v>
      </c>
      <c r="F59" s="66"/>
      <c r="G59" s="66"/>
      <c r="H59" s="66"/>
      <c r="I59" s="66"/>
      <c r="J59" s="66"/>
      <c r="K59" s="66"/>
      <c r="L59" s="66"/>
      <c r="M59" s="66"/>
      <c r="N59" s="67"/>
      <c r="O59" s="83" t="s">
        <v>41</v>
      </c>
      <c r="P59" s="84"/>
      <c r="Q59" s="83"/>
      <c r="R59" s="85"/>
      <c r="S59" s="86" t="s">
        <v>42</v>
      </c>
      <c r="T59" s="86"/>
      <c r="U59" s="52"/>
      <c r="V59" s="51"/>
      <c r="W59" s="51"/>
      <c r="X59" s="51"/>
      <c r="Y59" s="51"/>
    </row>
    <row r="60" spans="1:26" ht="40.15" customHeight="1">
      <c r="E60" s="68"/>
      <c r="F60" s="69"/>
      <c r="G60" s="69"/>
      <c r="H60" s="69"/>
      <c r="I60" s="69"/>
      <c r="J60" s="69"/>
      <c r="K60" s="69"/>
      <c r="L60" s="69"/>
      <c r="M60" s="69"/>
      <c r="N60" s="70"/>
      <c r="O60" s="80" t="s">
        <v>43</v>
      </c>
      <c r="P60" s="81"/>
      <c r="Q60" s="78">
        <f>U60*U59</f>
        <v>0</v>
      </c>
      <c r="R60" s="79"/>
      <c r="S60" s="75" t="s">
        <v>44</v>
      </c>
      <c r="T60" s="75"/>
      <c r="U60" s="53">
        <f>P58+Q58</f>
        <v>0</v>
      </c>
      <c r="V60" s="51"/>
      <c r="W60" s="51"/>
      <c r="X60" s="51"/>
      <c r="Y60" s="51"/>
    </row>
    <row r="61" spans="1:26" ht="40.15" customHeight="1">
      <c r="E61" s="68"/>
      <c r="F61" s="69"/>
      <c r="G61" s="69"/>
      <c r="H61" s="69"/>
      <c r="I61" s="69"/>
      <c r="J61" s="69"/>
      <c r="K61" s="69"/>
      <c r="L61" s="69"/>
      <c r="M61" s="69"/>
      <c r="N61" s="70"/>
      <c r="O61" s="80" t="s">
        <v>45</v>
      </c>
      <c r="P61" s="81"/>
      <c r="Q61" s="78">
        <f>U61*U59</f>
        <v>0</v>
      </c>
      <c r="R61" s="79"/>
      <c r="S61" s="75" t="s">
        <v>46</v>
      </c>
      <c r="T61" s="75"/>
      <c r="U61" s="53">
        <f>U60*10%</f>
        <v>0</v>
      </c>
      <c r="V61" s="51"/>
      <c r="W61" s="51"/>
      <c r="X61" s="51"/>
      <c r="Y61" s="51"/>
    </row>
    <row r="62" spans="1:26" ht="40.15" customHeight="1">
      <c r="E62" s="68"/>
      <c r="F62" s="69"/>
      <c r="G62" s="69"/>
      <c r="H62" s="69"/>
      <c r="I62" s="69"/>
      <c r="J62" s="69"/>
      <c r="K62" s="69"/>
      <c r="L62" s="69"/>
      <c r="M62" s="69"/>
      <c r="N62" s="69"/>
      <c r="O62" s="71" t="s">
        <v>47</v>
      </c>
      <c r="P62" s="72"/>
      <c r="Q62" s="73">
        <f>U62*U59</f>
        <v>0</v>
      </c>
      <c r="R62" s="74"/>
      <c r="S62" s="75" t="s">
        <v>48</v>
      </c>
      <c r="T62" s="75"/>
      <c r="U62" s="54">
        <f>S58</f>
        <v>0</v>
      </c>
      <c r="V62" s="51"/>
      <c r="W62" s="51"/>
      <c r="X62" s="51"/>
      <c r="Y62" s="51"/>
    </row>
    <row r="63" spans="1:26" ht="40.15" customHeight="1">
      <c r="E63" s="68"/>
      <c r="F63" s="69"/>
      <c r="G63" s="69"/>
      <c r="H63" s="69"/>
      <c r="I63" s="69"/>
      <c r="J63" s="69"/>
      <c r="K63" s="69"/>
      <c r="L63" s="69"/>
      <c r="M63" s="69"/>
      <c r="N63" s="69"/>
      <c r="O63" s="76" t="s">
        <v>49</v>
      </c>
      <c r="P63" s="77"/>
      <c r="Q63" s="78">
        <f>(Q61+Q62)*10%</f>
        <v>0</v>
      </c>
      <c r="R63" s="79"/>
      <c r="S63" s="75" t="s">
        <v>50</v>
      </c>
      <c r="T63" s="75"/>
      <c r="U63" s="53">
        <f>(U61+U62)*10%</f>
        <v>0</v>
      </c>
      <c r="V63" s="51"/>
      <c r="W63" s="51"/>
      <c r="X63" s="51"/>
      <c r="Y63" s="51"/>
    </row>
    <row r="64" spans="1:26" ht="81.75" customHeight="1">
      <c r="E64" s="68"/>
      <c r="F64" s="69"/>
      <c r="G64" s="69"/>
      <c r="H64" s="69"/>
      <c r="I64" s="69"/>
      <c r="J64" s="69"/>
      <c r="K64" s="69"/>
      <c r="L64" s="69"/>
      <c r="M64" s="69"/>
      <c r="N64" s="69"/>
      <c r="O64" s="58" t="s">
        <v>51</v>
      </c>
      <c r="P64" s="59"/>
      <c r="Q64" s="60">
        <f>Q60+Q61+Q62+Q63</f>
        <v>0</v>
      </c>
      <c r="R64" s="61"/>
      <c r="S64" s="62" t="s">
        <v>52</v>
      </c>
      <c r="T64" s="62"/>
      <c r="U64" s="55">
        <f>U60+U61+U62+U63</f>
        <v>0</v>
      </c>
      <c r="V64" s="51"/>
      <c r="W64" s="51"/>
      <c r="X64" s="51"/>
      <c r="Y64" s="51"/>
    </row>
    <row r="68" spans="7:21">
      <c r="O68" s="4"/>
      <c r="P68" s="4"/>
      <c r="Q68" s="4"/>
      <c r="R68" s="4"/>
      <c r="S68" s="4"/>
      <c r="T68" s="4"/>
      <c r="U68" s="4"/>
    </row>
    <row r="69" spans="7:21">
      <c r="G69" s="57"/>
      <c r="H69" s="57"/>
      <c r="I69" s="57"/>
      <c r="J69" s="57"/>
      <c r="K69" s="57"/>
      <c r="O69" s="4"/>
      <c r="P69" s="4"/>
      <c r="Q69" s="4"/>
      <c r="R69" s="4"/>
      <c r="S69" s="4"/>
      <c r="T69" s="4"/>
      <c r="U69" s="4"/>
    </row>
    <row r="70" spans="7:21">
      <c r="O70" s="4"/>
      <c r="P70" s="4"/>
      <c r="Q70" s="4"/>
      <c r="R70" s="4"/>
      <c r="S70" s="4"/>
      <c r="T70" s="4"/>
      <c r="U70" s="4"/>
    </row>
    <row r="71" spans="7:21">
      <c r="O71" s="4"/>
      <c r="P71" s="4"/>
      <c r="Q71" s="4"/>
      <c r="R71" s="4"/>
      <c r="S71" s="4"/>
      <c r="T71" s="4"/>
      <c r="U71" s="4"/>
    </row>
    <row r="72" spans="7:21">
      <c r="O72" s="4"/>
      <c r="P72" s="4"/>
      <c r="Q72" s="4"/>
      <c r="R72" s="4"/>
      <c r="S72" s="4"/>
      <c r="T72" s="4"/>
      <c r="U72" s="4"/>
    </row>
    <row r="73" spans="7:21">
      <c r="O73" s="4"/>
      <c r="P73" s="4"/>
      <c r="Q73" s="4"/>
      <c r="R73" s="4"/>
      <c r="S73" s="4"/>
      <c r="T73" s="4"/>
      <c r="U73" s="4"/>
    </row>
    <row r="74" spans="7:21">
      <c r="O74" s="4"/>
      <c r="P74" s="4"/>
      <c r="Q74" s="4"/>
      <c r="R74" s="4"/>
      <c r="S74" s="4"/>
      <c r="T74" s="4"/>
      <c r="U74" s="4"/>
    </row>
    <row r="75" spans="7:21">
      <c r="O75" s="4"/>
      <c r="P75" s="4"/>
      <c r="Q75" s="4"/>
      <c r="R75" s="4"/>
      <c r="S75" s="4"/>
      <c r="T75" s="4"/>
      <c r="U75" s="4"/>
    </row>
    <row r="76" spans="7:21">
      <c r="O76" s="4"/>
      <c r="P76" s="4"/>
      <c r="Q76" s="4"/>
      <c r="R76" s="4"/>
      <c r="S76" s="4"/>
      <c r="T76" s="4"/>
      <c r="U76" s="4"/>
    </row>
    <row r="77" spans="7:21">
      <c r="O77" s="4"/>
      <c r="P77" s="4"/>
      <c r="Q77" s="4"/>
      <c r="R77" s="4"/>
      <c r="S77" s="4"/>
      <c r="T77" s="4"/>
      <c r="U77" s="4"/>
    </row>
    <row r="78" spans="7:21">
      <c r="O78" s="4"/>
      <c r="P78" s="4"/>
      <c r="Q78" s="4"/>
      <c r="R78" s="4"/>
      <c r="S78" s="4"/>
      <c r="T78" s="4"/>
      <c r="U78" s="4"/>
    </row>
  </sheetData>
  <sheetProtection insertHyperlinks="0"/>
  <mergeCells count="27">
    <mergeCell ref="E2:U2"/>
    <mergeCell ref="E3:U3"/>
    <mergeCell ref="E4:U4"/>
    <mergeCell ref="I5:J5"/>
    <mergeCell ref="P5:U5"/>
    <mergeCell ref="S61:T61"/>
    <mergeCell ref="E6:U6"/>
    <mergeCell ref="E58:I58"/>
    <mergeCell ref="O59:P59"/>
    <mergeCell ref="Q59:R59"/>
    <mergeCell ref="S59:T59"/>
    <mergeCell ref="O64:P64"/>
    <mergeCell ref="Q64:R64"/>
    <mergeCell ref="S64:T64"/>
    <mergeCell ref="V2:Y6"/>
    <mergeCell ref="E59:N64"/>
    <mergeCell ref="O62:P62"/>
    <mergeCell ref="Q62:R62"/>
    <mergeCell ref="S62:T62"/>
    <mergeCell ref="O63:P63"/>
    <mergeCell ref="Q63:R63"/>
    <mergeCell ref="S63:T63"/>
    <mergeCell ref="O60:P60"/>
    <mergeCell ref="Q60:R60"/>
    <mergeCell ref="S60:T60"/>
    <mergeCell ref="O61:P61"/>
    <mergeCell ref="Q61:R61"/>
  </mergeCells>
  <phoneticPr fontId="22" type="noConversion"/>
  <dataValidations count="1">
    <dataValidation type="list" allowBlank="1" showInputMessage="1" showErrorMessage="1" sqref="X7:X16">
      <formula1>"50mm*30mm,60mm*80mm"</formula1>
    </dataValidation>
  </dataValidations>
  <hyperlinks>
    <hyperlink ref="H8" r:id="rId1"/>
    <hyperlink ref="H9" r:id="rId2"/>
  </hyperlinks>
  <pageMargins left="0.7" right="0.7" top="0.75" bottom="0.75" header="0.3" footer="0.3"/>
  <pageSetup paperSize="9" orientation="portrait" horizontalDpi="300" verticalDpi="300" r:id="rId3"/>
  <ignoredErrors>
    <ignoredError sqref="T8:T57 J58 P58:T58 Q60:U64 S8 P8 P9:S57" unlockedFormula="1"/>
  </ignoredErrors>
  <drawing r:id="rId4"/>
  <legacy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  <woSheetProps sheetStid="2" interlineOnOff="0" interlineColor="0" isDbSheet="0" isDashBoardSheet="0"/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발주서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이명재</dc:creator>
  <cp:lastModifiedBy>나나인터내셔널</cp:lastModifiedBy>
  <dcterms:created xsi:type="dcterms:W3CDTF">2021-03-09T00:57:00Z</dcterms:created>
  <dcterms:modified xsi:type="dcterms:W3CDTF">2025-07-25T05:37:57Z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F7BDA7086B31495395B076E0ECDFEAA8_13</vt:lpwstr>
  </property>
  <property fmtid="{D5CDD505-2E9C-101B-9397-08002B2CF9AE}" pid="3" name="KSOProductBuildVer">
    <vt:lpwstr>2052-12.1.0.21171</vt:lpwstr>
  </property>
</Properties>
</file>